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b32ff70a4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76e166cf24a94681"/>
    <x:sheet xmlns:r="http://schemas.openxmlformats.org/officeDocument/2006/relationships" name="Обычные" sheetId="2" r:id="R9a23289833d5404e"/>
    <x:sheet xmlns:r="http://schemas.openxmlformats.org/officeDocument/2006/relationships" name="Синие" sheetId="3" r:id="Ra489adc6ce9041c4"/>
    <x:sheet xmlns:r="http://schemas.openxmlformats.org/officeDocument/2006/relationships" name="Фиолетовые" sheetId="4" r:id="R86fd206cb945472b"/>
    <x:sheet xmlns:r="http://schemas.openxmlformats.org/officeDocument/2006/relationships" name="Оранжевые" sheetId="5" r:id="R351c3bfa416a4078"/>
    <x:sheet xmlns:r="http://schemas.openxmlformats.org/officeDocument/2006/relationships" name="Правила и проверки" sheetId="6" r:id="R18c2ea61f0dd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4748B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  <x:font>
      <x:b/>
      <x:sz val="11"/>
      <x:color rgb="FF15803D"/>
      <x:name val="Carlito"/>
    </x:font>
    <x:font>
      <x:b/>
      <x:sz val="11"/>
      <x:color rgb="FF111827"/>
      <x:name val="Carlito"/>
    </x:font>
    <x:font>
      <x:b/>
      <x:sz val="11"/>
      <x:color rgb="FFB91C1C"/>
      <x:name val="Carlito"/>
    </x:font>
    <x:font>
      <x:b/>
      <x:sz val="11"/>
      <x:color rgb="FF047857"/>
      <x:name val="Carlito"/>
    </x:font>
    <x:font>
      <x:b/>
      <x:sz val="11"/>
      <x:color rgb="FF6D28D9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EA580C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59E0B"/>
      </x:patternFill>
    </x:fill>
    <x:fill>
      <x:patternFill patternType="solid">
        <x:fgColor rgb="FFB91C1C"/>
      </x:patternFill>
    </x:fill>
    <x:fill>
      <x:patternFill patternType="solid">
        <x:fgColor rgb="FF047857"/>
      </x:patternFill>
    </x:fill>
    <x:fill>
      <x:patternFill patternType="solid">
        <x:fgColor rgb="FF6D28D9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8" borderId="6" xfId="0" applyNumberFormat="1" applyFont="1" applyFill="1" applyBorder="1"/>
    <x:xf numFmtId="200" fontId="4" fillId="8" borderId="6" xfId="0" applyNumberFormat="1" applyFont="1" applyFill="1" applyBorder="1"/>
    <x:xf numFmtId="200" fontId="0" fillId="9" borderId="8" xfId="0" applyNumberFormat="1" applyFont="1" applyFill="1" applyBorder="1"/>
    <x:xf numFmtId="200" fontId="5" fillId="9" borderId="8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1291cf84948f6" /><Relationship Type="http://schemas.openxmlformats.org/officeDocument/2006/relationships/theme" Target="/xl/theme/theme1.xml" Id="Rbcab00ef29c24f9d" /><Relationship Type="http://schemas.openxmlformats.org/officeDocument/2006/relationships/sharedStrings" Target="/xl/sharedStrings.xml" Id="R8a20ecd4050040a5" /><Relationship Type="http://schemas.openxmlformats.org/officeDocument/2006/relationships/worksheet" Target="/xl/worksheets/sheet1.xml" Id="R76e166cf24a94681" /><Relationship Type="http://schemas.openxmlformats.org/officeDocument/2006/relationships/worksheet" Target="/xl/worksheets/sheet2.xml" Id="R9a23289833d5404e" /><Relationship Type="http://schemas.openxmlformats.org/officeDocument/2006/relationships/worksheet" Target="/xl/worksheets/sheet3.xml" Id="Ra489adc6ce9041c4" /><Relationship Type="http://schemas.openxmlformats.org/officeDocument/2006/relationships/worksheet" Target="/xl/worksheets/sheet4.xml" Id="R86fd206cb945472b" /><Relationship Type="http://schemas.openxmlformats.org/officeDocument/2006/relationships/worksheet" Target="/xl/worksheets/sheet5.xml" Id="R351c3bfa416a4078" /><Relationship Type="http://schemas.openxmlformats.org/officeDocument/2006/relationships/worksheet" Target="/xl/worksheets/sheet6.xml" Id="R18c2ea61f0dd445c" /></Relationships>
</file>

<file path=xl/tables/table1.xml><?xml version="1.0" encoding="utf-8"?>
<x:table xmlns:x="http://schemas.openxmlformats.org/spreadsheetml/2006/main" id="5" name="PrototypeCandidates" displayName="PrototypeCandidates" ref="A11:D23" headerRowCount="1" totalsRowCount="0" totalsRowShown="0">
  <x:autoFilter ref="A11:D23"/>
  <x:tableColumns count="4">
    <x:tableColumn id="1" name="Кандидаты для первого прототипа"/>
    <x:tableColumn id="2" name="Тир"/>
    <x:tableColumn id="3" name="Класс"/>
    <x:tableColumn id="4" name="Почему стоит начать с неё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ОбычныеCards" displayName="ОбычныеCards" ref="A4:I28" headerRowCount="1" totalsRowCount="0" totalsRowShown="0">
  <x:autoFilter ref="A4:I28"/>
  <x:tableColumns count="9">
    <x:tableColumn id="1" name="№"/>
    <x:tableColumn id="2" name="Название"/>
    <x:tableColumn id="3" name="Класс"/>
    <x:tableColumn id="4" name="Эффект / выгода"/>
    <x:tableColumn id="5" name="Условия, ограничения или цена"/>
    <x:tableColumn id="6" name="Одноразовая"/>
    <x:tableColumn id="7" name="Ветка"/>
    <x:tableColumn id="8" name="Первый прототип"/>
    <x:tableColumn id="9" name="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СиниеCards" displayName="СиниеCards" ref="A4:I24" headerRowCount="1" totalsRowCount="0" totalsRowShown="0">
  <x:autoFilter ref="A4:I24"/>
  <x:tableColumns count="9">
    <x:tableColumn id="1" name="№"/>
    <x:tableColumn id="2" name="Название"/>
    <x:tableColumn id="3" name="Класс"/>
    <x:tableColumn id="4" name="Эффект / выгода"/>
    <x:tableColumn id="5" name="Условия, ограничения или цена"/>
    <x:tableColumn id="6" name="Одноразовая"/>
    <x:tableColumn id="7" name="Ветка"/>
    <x:tableColumn id="8" name="Первый прототип"/>
    <x:tableColumn id="9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ФиолетовыеCards" displayName="ФиолетовыеCards" ref="A4:I20" headerRowCount="1" totalsRowCount="0" totalsRowShown="0">
  <x:autoFilter ref="A4:I20"/>
  <x:tableColumns count="9">
    <x:tableColumn id="1" name="№"/>
    <x:tableColumn id="2" name="Название"/>
    <x:tableColumn id="3" name="Класс"/>
    <x:tableColumn id="4" name="Эффект / выгода"/>
    <x:tableColumn id="5" name="Условия, ограничения или цена"/>
    <x:tableColumn id="6" name="Одноразовая"/>
    <x:tableColumn id="7" name="Ветка"/>
    <x:tableColumn id="8" name="Первый прототип"/>
    <x:tableColumn id="9" name="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ОранжевыеCards" displayName="ОранжевыеCards" ref="A4:I16" headerRowCount="1" totalsRowCount="0" totalsRowShown="0">
  <x:autoFilter ref="A4:I16"/>
  <x:tableColumns count="9">
    <x:tableColumn id="1" name="№"/>
    <x:tableColumn id="2" name="Название"/>
    <x:tableColumn id="3" name="Класс"/>
    <x:tableColumn id="4" name="Эффект / выгода"/>
    <x:tableColumn id="5" name="Условия, ограничения или цена"/>
    <x:tableColumn id="6" name="Одноразовая"/>
    <x:tableColumn id="7" name="Ветка"/>
    <x:tableColumn id="8" name="Первый прототип"/>
    <x:tableColumn id="9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efcfbf21ef47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bf39e1f5d2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de734a947945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b7caf9d9be45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a4baa0d5ce41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2" hidden="0" customWidth="1"/>
    <x:col min="4" max="4" width="66" hidden="0" customWidth="1"/>
    <x:col min="5" max="5" width="14" hidden="0" customWidth="1"/>
    <x:col min="6" max="6" width="3" hidden="0" customWidth="1"/>
    <x:col min="7" max="7" width="24" hidden="0" customWidth="1"/>
    <x:col min="8" max="8" width="14" hidden="0" customWidth="1"/>
    <x:col min="9" max="9" width="34" hidden="0" customWidth="1"/>
  </x:cols>
  <x:sheetData>
    <x:row r="1" ht="30" customHeight="1">
      <x:c r="A1" s="33" t="str">
        <x:v>Каталог дополнительных карточек PolyGrind</x:v>
      </x:c>
      <x:c r="B1" s="33" t="str">
        <x:v>Каталог дополнительных карточек PolyGrind</x:v>
      </x:c>
      <x:c r="C1" s="33" t="str">
        <x:v>Каталог дополнительных карточек PolyGrind</x:v>
      </x:c>
      <x:c r="D1" s="33" t="str">
        <x:v>Каталог дополнительных карточек PolyGrind</x:v>
      </x:c>
      <x:c r="E1" s="33" t="str">
        <x:v>Каталог дополнительных карточек PolyGrind</x:v>
      </x:c>
      <x:c r="F1" s="33" t="str">
        <x:v>Каталог дополнительных карточек PolyGrind</x:v>
      </x:c>
      <x:c r="G1" s="33" t="str">
        <x:v>Каталог дополнительных карточек PolyGrind</x:v>
      </x:c>
      <x:c r="H1" s="33" t="str">
        <x:v>Каталог дополнительных карточек PolyGrind</x:v>
      </x:c>
      <x:c r="I1" s="33" t="str">
        <x:v>Каталог дополнительных карточек PolyGrind</x:v>
      </x:c>
    </x:row>
    <x:row r="2" ht="32" customHeight="1">
      <x:c r="A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B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C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D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E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F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G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H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  <x:c r="I2" s="7" t="str">
        <x:v>72 идеи для обычного, синего, фиолетового и оранжевого тиров. Рабочая книга предназначена для отбора, балансировки и постановки прототипов.</x:v>
      </x:c>
    </x:row>
    <x:row r="4">
      <x:c r="A4" s="32" t="str">
        <x:v>Редкость</x:v>
      </x:c>
      <x:c r="B4" s="32" t="str">
        <x:v>Количество</x:v>
      </x:c>
      <x:c r="D4" s="32" t="str">
        <x:v>Класс</x:v>
      </x:c>
      <x:c r="E4" s="32" t="str">
        <x:v>Число идей</x:v>
      </x:c>
      <x:c r="G4" s="32" t="str">
        <x:v>Рабочий показатель</x:v>
      </x:c>
      <x:c r="H4" s="32" t="str">
        <x:v>Значение</x:v>
      </x:c>
      <x:c r="I4" s="32" t="str">
        <x:v>Назначение</x:v>
      </x:c>
    </x:row>
    <x:row r="5">
      <x:c r="A5" s="34" t="str">
        <x:v>Обычные</x:v>
      </x:c>
      <x:c r="B5" s="43" t="n">
        <x:f>COUNTA('Обычные'!$A$5:$A$28)</x:f>
        <x:v>24</x:v>
      </x:c>
      <x:c r="D5" s="34" t="str">
        <x:v>Воин</x:v>
      </x:c>
      <x:c r="E5" s="43" t="n">
        <x:f>COUNTIF('Обычные'!$C$5:$C$28,"Воин")+COUNTIF('Синие'!$C$5:$C$24,"Воин")+COUNTIF('Фиолетовые'!$C$5:$C$20,"Воин")+COUNTIF('Оранжевые'!$C$5:$C$16,"Воин")</x:f>
        <x:v>14</x:v>
      </x:c>
      <x:c r="G5" s="34" t="str">
        <x:v>Всего идей</x:v>
      </x:c>
      <x:c r="H5" s="46" t="n">
        <x:f>B9</x:f>
        <x:v>72</x:v>
      </x:c>
      <x:c r="I5" s="35" t="str">
        <x:v>Полный каталог</x:v>
      </x:c>
    </x:row>
    <x:row r="6">
      <x:c r="A6" s="36" t="str">
        <x:v>Синие</x:v>
      </x:c>
      <x:c r="B6" s="44" t="n">
        <x:f>COUNTA('Синие'!$A$5:$A$24)</x:f>
        <x:v>20</x:v>
      </x:c>
      <x:c r="D6" s="36" t="str">
        <x:v>Лучник</x:v>
      </x:c>
      <x:c r="E6" s="44" t="n">
        <x:f>COUNTIF('Обычные'!$C$5:$C$28,"Лучник")+COUNTIF('Синие'!$C$5:$C$24,"Лучник")+COUNTIF('Фиолетовые'!$C$5:$C$20,"Лучник")+COUNTIF('Оранжевые'!$C$5:$C$16,"Лучник")</x:f>
        <x:v>14</x:v>
      </x:c>
      <x:c r="G6" s="36" t="str">
        <x:v>Первый прототип</x:v>
      </x:c>
      <x:c r="H6" s="52" t="n">
        <x:f>COUNTIF('Обычные'!$H$5:$H$28,"Да")+COUNTIF('Синие'!$H$5:$H$24,"Да")+COUNTIF('Фиолетовые'!$H$5:$H$20,"Да")+COUNTIF('Оранжевые'!$H$5:$H$16,"Да")</x:f>
        <x:v>12</x:v>
      </x:c>
      <x:c r="I6" s="37" t="str">
        <x:v>Низкий риск реализации</x:v>
      </x:c>
    </x:row>
    <x:row r="7">
      <x:c r="A7" s="36" t="str">
        <x:v>Фиолетовые</x:v>
      </x:c>
      <x:c r="B7" s="44" t="n">
        <x:f>COUNTA('Фиолетовые'!$A$5:$A$20)</x:f>
        <x:v>16</x:v>
      </x:c>
      <x:c r="D7" s="36" t="str">
        <x:v>Маг</x:v>
      </x:c>
      <x:c r="E7" s="44" t="n">
        <x:f>COUNTIF('Обычные'!$C$5:$C$28,"Маг")+COUNTIF('Обычные'!$C$5:$C$28,"Маг Мультипликации")+COUNTIF('Синие'!$C$5:$C$24,"Маг")+COUNTIF('Синие'!$C$5:$C$24,"Маг Мультипликации")+COUNTIF('Фиолетовые'!$C$5:$C$20,"Маг")+COUNTIF('Фиолетовые'!$C$5:$C$20,"Маг Мультипликации")+COUNTIF('Оранжевые'!$C$5:$C$16,"Маг")+COUNTIF('Оранжевые'!$C$5:$C$16,"Маг Мультипликации")</x:f>
        <x:v>11</x:v>
      </x:c>
      <x:c r="G7" s="38" t="str">
        <x:v>Остальные концепты</x:v>
      </x:c>
      <x:c r="H7" s="48" t="n">
        <x:f>H5-H6</x:f>
        <x:v>60</x:v>
      </x:c>
      <x:c r="I7" s="39" t="str">
        <x:v>Резерв для будущих обновлений</x:v>
      </x:c>
    </x:row>
    <x:row r="8">
      <x:c r="A8" s="36" t="str">
        <x:v>Оранжевые</x:v>
      </x:c>
      <x:c r="B8" s="44" t="n">
        <x:f>COUNTA('Оранжевые'!$A$5:$A$16)</x:f>
        <x:v>12</x:v>
      </x:c>
      <x:c r="D8" s="36" t="str">
        <x:v>Некромант</x:v>
      </x:c>
      <x:c r="E8" s="44" t="n">
        <x:f>COUNTIF('Обычные'!$C$5:$C$28,"Некромант")+COUNTIF('Синие'!$C$5:$C$24,"Некромант")+COUNTIF('Фиолетовые'!$C$5:$C$20,"Некромант")+COUNTIF('Оранжевые'!$C$5:$C$16,"Некромант")</x:f>
        <x:v>11</x:v>
      </x:c>
    </x:row>
    <x:row r="9">
      <x:c r="A9" s="38" t="str">
        <x:v>Всего</x:v>
      </x:c>
      <x:c r="B9" s="50" t="n">
        <x:f>SUM(B5:B8)</x:f>
        <x:v>72</x:v>
      </x:c>
      <x:c r="D9" s="38" t="str">
        <x:v>Все</x:v>
      </x:c>
      <x:c r="E9" s="45" t="n">
        <x:f>COUNTIF('Обычные'!$C$5:$C$28,"Все")+COUNTIF('Синие'!$C$5:$C$24,"Все")+COUNTIF('Фиолетовые'!$C$5:$C$20,"Все")+COUNTIF('Оранжевые'!$C$5:$C$16,"Все")</x:f>
        <x:v>22</x:v>
      </x:c>
    </x:row>
    <x:row r="11">
      <x:c r="A11" s="55" t="str">
        <x:v>Кандидаты для первого прототипа</x:v>
      </x:c>
      <x:c r="B11" s="55" t="str">
        <x:v>Тир</x:v>
      </x:c>
      <x:c r="C11" s="55" t="str">
        <x:v>Класс</x:v>
      </x:c>
      <x:c r="D11" s="55" t="str">
        <x:v>Почему стоит начать с неё</x:v>
      </x:c>
    </x:row>
    <x:row r="12" ht="42" customHeight="1">
      <x:c r="A12" s="57" t="str">
        <x:v>Длинное лезвие</x:v>
      </x:c>
      <x:c r="B12" s="57" t="str">
        <x:v>Обычная</x:v>
      </x:c>
      <x:c r="C12" s="57" t="str">
        <x:v>Воин</x:v>
      </x:c>
      <x:c r="D12" s="57" t="str">
        <x:v>заполняет отсутствующую геометрию ближнего боя.</x:v>
      </x:c>
    </x:row>
    <x:row r="13" ht="42" customHeight="1">
      <x:c r="A13" s="57" t="str">
        <x:v>Разогнанная стрела</x:v>
      </x:c>
      <x:c r="B13" s="57" t="str">
        <x:v>Обычная</x:v>
      </x:c>
      <x:c r="C13" s="57" t="str">
        <x:v>Лучник</x:v>
      </x:c>
      <x:c r="D13" s="57" t="str">
        <x:v>создаёт позиционную дальнобойную сборку.</x:v>
      </x:c>
    </x:row>
    <x:row r="14" ht="42" customHeight="1">
      <x:c r="A14" s="57" t="str">
        <x:v>Сердце взрыва</x:v>
      </x:c>
      <x:c r="B14" s="57" t="str">
        <x:v>Обычная</x:v>
      </x:c>
      <x:c r="C14" s="57" t="str">
        <x:v>Маг</x:v>
      </x:c>
      <x:c r="D14" s="57" t="str">
        <x:v>даёт Магу смысл точнее собирать толпу.</x:v>
      </x:c>
    </x:row>
    <x:row r="15" ht="42" customHeight="1">
      <x:c r="A15" s="57" t="str">
        <x:v>Долгая служба</x:v>
      </x:c>
      <x:c r="B15" s="57" t="str">
        <x:v>Обычная</x:v>
      </x:c>
      <x:c r="C15" s="57" t="str">
        <x:v>Некромант</x:v>
      </x:c>
      <x:c r="D15" s="57" t="str">
        <x:v>простая новая ось развития свиты.</x:v>
      </x:c>
    </x:row>
    <x:row r="16" ht="42" customHeight="1">
      <x:c r="A16" s="57" t="str">
        <x:v>Критическая батарея</x:v>
      </x:c>
      <x:c r="B16" s="57" t="str">
        <x:v>Синяя</x:v>
      </x:c>
      <x:c r="C16" s="57" t="str">
        <x:v>Все</x:v>
      </x:c>
      <x:c r="D16" s="57" t="str">
        <x:v>понятная защита от длинных серий без крита.</x:v>
      </x:c>
    </x:row>
    <x:row r="17" ht="42" customHeight="1">
      <x:c r="A17" s="57" t="str">
        <x:v>Чистое убийство</x:v>
      </x:c>
      <x:c r="B17" s="57" t="str">
        <x:v>Синяя</x:v>
      </x:c>
      <x:c r="C17" s="57" t="str">
        <x:v>Все</x:v>
      </x:c>
      <x:c r="D17" s="57" t="str">
        <x:v>связывает хороший урон с мобильностью.</x:v>
      </x:c>
    </x:row>
    <x:row r="18" ht="42" customHeight="1">
      <x:c r="A18" s="57" t="str">
        <x:v>Терновый круг</x:v>
      </x:c>
      <x:c r="B18" s="57" t="str">
        <x:v>Синяя</x:v>
      </x:c>
      <x:c r="C18" s="57" t="str">
        <x:v>Воин</x:v>
      </x:c>
      <x:c r="D18" s="57" t="str">
        <x:v>естественное синее развитие эксклюзивных шипов Воина.</x:v>
      </x:c>
    </x:row>
    <x:row r="19" ht="42" customHeight="1">
      <x:c r="A19" s="57" t="str">
        <x:v>Арканная мина</x:v>
      </x:c>
      <x:c r="B19" s="57" t="str">
        <x:v>Синяя</x:v>
      </x:c>
      <x:c r="C19" s="57" t="str">
        <x:v>Маг</x:v>
      </x:c>
      <x:c r="D19" s="57" t="str">
        <x:v>превращает промах Мага в отложенную пользу.</x:v>
      </x:c>
    </x:row>
    <x:row r="20" ht="42" customHeight="1">
      <x:c r="A20" s="57" t="str">
        <x:v>Последний приказ</x:v>
      </x:c>
      <x:c r="B20" s="57" t="str">
        <x:v>Синяя</x:v>
      </x:c>
      <x:c r="C20" s="57" t="str">
        <x:v>Некромант</x:v>
      </x:c>
      <x:c r="D20" s="57" t="str">
        <x:v>делает естественную смерть свиты интересным событием.</x:v>
      </x:c>
    </x:row>
    <x:row r="21" ht="42" customHeight="1">
      <x:c r="A21" s="57" t="str">
        <x:v>Обвал статусов</x:v>
      </x:c>
      <x:c r="B21" s="57" t="str">
        <x:v>Фиолетовая</x:v>
      </x:c>
      <x:c r="C21" s="57" t="str">
        <x:v>Все</x:v>
      </x:c>
      <x:c r="D21" s="57" t="str">
        <x:v>награда за полноценную сборку негативных эффектов.</x:v>
      </x:c>
    </x:row>
    <x:row r="22" ht="42" customHeight="1">
      <x:c r="A22" s="57" t="str">
        <x:v>Землелом</x:v>
      </x:c>
      <x:c r="B22" s="57" t="str">
        <x:v>Фиолетовая</x:v>
      </x:c>
      <x:c r="C22" s="57" t="str">
        <x:v>Воин</x:v>
      </x:c>
      <x:c r="D22" s="57" t="str">
        <x:v>зрелищное развитие классовой волны Воина.</x:v>
      </x:c>
    </x:row>
    <x:row r="23" ht="42" customHeight="1">
      <x:c r="A23" s="57" t="str">
        <x:v>Доктрина одной стрелы</x:v>
      </x:c>
      <x:c r="B23" s="57" t="str">
        <x:v>Оранжевая</x:v>
      </x:c>
      <x:c r="C23" s="57" t="str">
        <x:v>Лучник</x:v>
      </x:c>
      <x:c r="D23" s="57" t="str">
        <x:v>ясный оранжевый архетип с большой ценой.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fefcfbf21ef47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22" hidden="0" customWidth="1"/>
    <x:col min="4" max="4" width="56" hidden="0" customWidth="1"/>
    <x:col min="5" max="5" width="58" hidden="0" customWidth="1"/>
    <x:col min="6" max="6" width="13" hidden="0" customWidth="1"/>
    <x:col min="7" max="7" width="10" hidden="0" customWidth="1"/>
    <x:col min="8" max="8" width="17" hidden="0" customWidth="1"/>
    <x:col min="9" max="9" width="16" hidden="0" customWidth="1"/>
  </x:cols>
  <x:sheetData>
    <x:row r="1" ht="30" customHeight="1">
      <x:c r="A1" s="3" t="str">
        <x:v>Обычная редкость — 24 идей</x:v>
      </x:c>
      <x:c r="B1" s="3" t="str">
        <x:v>Обычная редкость — 24 идей</x:v>
      </x:c>
      <x:c r="C1" s="3" t="str">
        <x:v>Обычная редкость — 24 идей</x:v>
      </x:c>
      <x:c r="D1" s="3" t="str">
        <x:v>Обычная редкость — 24 идей</x:v>
      </x:c>
      <x:c r="E1" s="3" t="str">
        <x:v>Обычная редкость — 24 идей</x:v>
      </x:c>
      <x:c r="F1" s="3" t="str">
        <x:v>Обычная редкость — 24 идей</x:v>
      </x:c>
      <x:c r="G1" s="3" t="str">
        <x:v>Обычная редкость — 24 идей</x:v>
      </x:c>
      <x:c r="H1" s="3" t="str">
        <x:v>Обычная редкость — 24 идей</x:v>
      </x:c>
      <x:c r="I1" s="3" t="str">
        <x:v>Обычная редкость — 24 идей</x:v>
      </x:c>
    </x:row>
    <x:row r="2" ht="32" customHeight="1">
      <x:c r="A2" s="7" t="str">
        <x:v>Числа являются стартовыми гипотезами для прототипа. Фильтруйте по классу, одноразовости, ветке и приоритету.</x:v>
      </x:c>
      <x:c r="B2" s="7" t="str">
        <x:v>Числа являются стартовыми гипотезами для прототипа. Фильтруйте по классу, одноразовости, ветке и приоритету.</x:v>
      </x:c>
      <x:c r="C2" s="7" t="str">
        <x:v>Числа являются стартовыми гипотезами для прототипа. Фильтруйте по классу, одноразовости, ветке и приоритету.</x:v>
      </x:c>
      <x:c r="D2" s="7" t="str">
        <x:v>Числа являются стартовыми гипотезами для прототипа. Фильтруйте по классу, одноразовости, ветке и приоритету.</x:v>
      </x:c>
      <x:c r="E2" s="7" t="str">
        <x:v>Числа являются стартовыми гипотезами для прототипа. Фильтруйте по классу, одноразовости, ветке и приоритету.</x:v>
      </x:c>
      <x:c r="F2" s="7" t="str">
        <x:v>Числа являются стартовыми гипотезами для прототипа. Фильтруйте по классу, одноразовости, ветке и приоритету.</x:v>
      </x:c>
      <x:c r="G2" s="7" t="str">
        <x:v>Числа являются стартовыми гипотезами для прототипа. Фильтруйте по классу, одноразовости, ветке и приоритету.</x:v>
      </x:c>
      <x:c r="H2" s="7" t="str">
        <x:v>Числа являются стартовыми гипотезами для прототипа. Фильтруйте по классу, одноразовости, ветке и приоритету.</x:v>
      </x:c>
      <x:c r="I2" s="7" t="str">
        <x:v>Числа являются стартовыми гипотезами для прототипа. Фильтруйте по классу, одноразовости, ветке и приоритету.</x:v>
      </x:c>
    </x:row>
    <x:row r="4" ht="34" customHeight="1">
      <x:c r="A4" s="9" t="str">
        <x:v>№</x:v>
      </x:c>
      <x:c r="B4" s="9" t="str">
        <x:v>Название</x:v>
      </x:c>
      <x:c r="C4" s="9" t="str">
        <x:v>Класс</x:v>
      </x:c>
      <x:c r="D4" s="9" t="str">
        <x:v>Эффект / выгода</x:v>
      </x:c>
      <x:c r="E4" s="9" t="str">
        <x:v>Условия, ограничения или цена</x:v>
      </x:c>
      <x:c r="F4" s="9" t="str">
        <x:v>Одноразовая</x:v>
      </x:c>
      <x:c r="G4" s="9" t="str">
        <x:v>Ветка</x:v>
      </x:c>
      <x:c r="H4" s="9" t="str">
        <x:v>Первый прототип</x:v>
      </x:c>
      <x:c r="I4" s="9" t="str">
        <x:v>Статус</x:v>
      </x:c>
    </x:row>
    <x:row r="5" ht="68" customHeight="1">
      <x:c r="A5" s="14" t="n">
        <x:v>1</x:v>
      </x:c>
      <x:c r="B5" s="12" t="str">
        <x:v>Длинное лезвие</x:v>
      </x:c>
      <x:c r="C5" s="12" t="str">
        <x:v>Воин</x:v>
      </x:c>
      <x:c r="D5" s="12" t="str">
        <x:v>+6–10% к дальности обычного взмаха.</x:v>
      </x:c>
      <x:c r="E5" s="12" t="str">
        <x:v>Складывается до +60%. Не увеличивает радиус круговой волны.</x:v>
      </x:c>
      <x:c r="F5" s="15" t="str">
        <x:v>Нет</x:v>
      </x:c>
      <x:c r="G5" s="15" t="str">
        <x:v>Нет</x:v>
      </x:c>
      <x:c r="H5" s="15" t="str">
        <x:v>Да</x:v>
      </x:c>
      <x:c r="I5" s="15" t="str">
        <x:v>К прототипу</x:v>
      </x:c>
    </x:row>
    <x:row r="6" ht="68" customHeight="1">
      <x:c r="A6" s="14" t="n">
        <x:v>2</x:v>
      </x:c>
      <x:c r="B6" s="12" t="str">
        <x:v>Стальная толпа</x:v>
      </x:c>
      <x:c r="C6" s="12" t="str">
        <x:v>Воин</x:v>
      </x:c>
      <x:c r="D6" s="12" t="str">
        <x:v>+2–4 брони за каждого врага в радиусе 180.</x:v>
      </x:c>
      <x:c r="E6" s="12" t="str">
        <x:v>Максимум 8 врагов. Значения карточек складываются.</x:v>
      </x:c>
      <x:c r="F6" s="15" t="str">
        <x:v>Нет</x:v>
      </x:c>
      <x:c r="G6" s="15" t="str">
        <x:v>Нет</x:v>
      </x:c>
      <x:c r="H6" s="15" t="str">
        <x:v>Нет</x:v>
      </x:c>
      <x:c r="I6" s="15" t="str">
        <x:v>Концепт</x:v>
      </x:c>
    </x:row>
    <x:row r="7" ht="68" customHeight="1">
      <x:c r="A7" s="14" t="n">
        <x:v>3</x:v>
      </x:c>
      <x:c r="B7" s="12" t="str">
        <x:v>Ответный темп</x:v>
      </x:c>
      <x:c r="C7" s="12" t="str">
        <x:v>Воин</x:v>
      </x:c>
      <x:c r="D7" s="12" t="str">
        <x:v>После реально полученного контактного удара +5–9% скорости атаки на 2 сек.</x:v>
      </x:c>
      <x:c r="E7" s="12" t="str">
        <x:v>Сила стакается до +45%, таймер обновляется. Уклонённый удар не включает эффект.</x:v>
      </x:c>
      <x:c r="F7" s="15" t="str">
        <x:v>Нет</x:v>
      </x:c>
      <x:c r="G7" s="15" t="str">
        <x:v>Нет</x:v>
      </x:c>
      <x:c r="H7" s="15" t="str">
        <x:v>Нет</x:v>
      </x:c>
      <x:c r="I7" s="15" t="str">
        <x:v>Концепт</x:v>
      </x:c>
    </x:row>
    <x:row r="8" ht="68" customHeight="1">
      <x:c r="A8" s="14" t="n">
        <x:v>4</x:v>
      </x:c>
      <x:c r="B8" s="12" t="str">
        <x:v>Тяжёлый шаг</x:v>
      </x:c>
      <x:c r="C8" s="12" t="str">
        <x:v>Воин</x:v>
      </x:c>
      <x:c r="D8" s="12" t="str">
        <x:v>Во время движения к ближайшему врагу +8–14% силы отбрасывания.</x:v>
      </x:c>
      <x:c r="E8" s="12" t="str">
        <x:v>Не даёт шанс отбрасывания сам по себе.</x:v>
      </x:c>
      <x:c r="F8" s="15" t="str">
        <x:v>Нет</x:v>
      </x:c>
      <x:c r="G8" s="15" t="str">
        <x:v>Нет</x:v>
      </x:c>
      <x:c r="H8" s="15" t="str">
        <x:v>Нет</x:v>
      </x:c>
      <x:c r="I8" s="15" t="str">
        <x:v>Концепт</x:v>
      </x:c>
    </x:row>
    <x:row r="9" ht="68" customHeight="1">
      <x:c r="A9" s="14" t="n">
        <x:v>5</x:v>
      </x:c>
      <x:c r="B9" s="12" t="str">
        <x:v>Открытая рана</x:v>
      </x:c>
      <x:c r="C9" s="12" t="str">
        <x:v>Воин</x:v>
      </x:c>
      <x:c r="D9" s="12" t="str">
        <x:v>Повторный ближний удар по той же цели в течение 1 сек получает +5–9% урона.</x:v>
      </x:c>
      <x:c r="E9" s="12" t="str">
        <x:v>До 5 стаков на цели; смена цели начинает цепочку заново.</x:v>
      </x:c>
      <x:c r="F9" s="15" t="str">
        <x:v>Нет</x:v>
      </x:c>
      <x:c r="G9" s="15" t="str">
        <x:v>Нет</x:v>
      </x:c>
      <x:c r="H9" s="15" t="str">
        <x:v>Нет</x:v>
      </x:c>
      <x:c r="I9" s="15" t="str">
        <x:v>Концепт</x:v>
      </x:c>
    </x:row>
    <x:row r="10" ht="68" customHeight="1">
      <x:c r="A10" s="14" t="n">
        <x:v>6</x:v>
      </x:c>
      <x:c r="B10" s="12" t="str">
        <x:v>Дальний полёт</x:v>
      </x:c>
      <x:c r="C10" s="12" t="str">
        <x:v>Лучник</x:v>
      </x:c>
      <x:c r="D10" s="12" t="str">
        <x:v>+8–14% времени жизни и максимальной дальности стрел.</x:v>
      </x:c>
      <x:c r="E10" s="12" t="str">
        <x:v>Не увеличивает радиус автозахвата сверх фактической дальности стрелы.</x:v>
      </x:c>
      <x:c r="F10" s="15" t="str">
        <x:v>Нет</x:v>
      </x:c>
      <x:c r="G10" s="15" t="str">
        <x:v>Нет</x:v>
      </x:c>
      <x:c r="H10" s="15" t="str">
        <x:v>Нет</x:v>
      </x:c>
      <x:c r="I10" s="15" t="str">
        <x:v>Концепт</x:v>
      </x:c>
    </x:row>
    <x:row r="11" ht="68" customHeight="1">
      <x:c r="A11" s="14" t="n">
        <x:v>7</x:v>
      </x:c>
      <x:c r="B11" s="12" t="str">
        <x:v>Разогнанная стрела</x:v>
      </x:c>
      <x:c r="C11" s="12" t="str">
        <x:v>Лучник</x:v>
      </x:c>
      <x:c r="D11" s="12" t="str">
        <x:v>Стрела, летевшая не меньше 0,35 сек, наносит +6–11% урона.</x:v>
      </x:c>
      <x:c r="E11" s="12" t="str">
        <x:v>Значения складываются без потолка; близкие попадания бонуса не получают.</x:v>
      </x:c>
      <x:c r="F11" s="15" t="str">
        <x:v>Нет</x:v>
      </x:c>
      <x:c r="G11" s="15" t="str">
        <x:v>Нет</x:v>
      </x:c>
      <x:c r="H11" s="15" t="str">
        <x:v>Да</x:v>
      </x:c>
      <x:c r="I11" s="15" t="str">
        <x:v>К прототипу</x:v>
      </x:c>
    </x:row>
    <x:row r="12" ht="68" customHeight="1">
      <x:c r="A12" s="14" t="n">
        <x:v>8</x:v>
      </x:c>
      <x:c r="B12" s="12" t="str">
        <x:v>Чистая траектория</x:v>
      </x:c>
      <x:c r="C12" s="12" t="str">
        <x:v>Лучник</x:v>
      </x:c>
      <x:c r="D12" s="12" t="str">
        <x:v>Первая цель каждой стрелы получает +5–9% урона.</x:v>
      </x:c>
      <x:c r="E12" s="12" t="str">
        <x:v>Отскоки, пробитые и повторные цели бонуса не получают.</x:v>
      </x:c>
      <x:c r="F12" s="15" t="str">
        <x:v>Нет</x:v>
      </x:c>
      <x:c r="G12" s="15" t="str">
        <x:v>Нет</x:v>
      </x:c>
      <x:c r="H12" s="15" t="str">
        <x:v>Нет</x:v>
      </x:c>
      <x:c r="I12" s="15" t="str">
        <x:v>Концепт</x:v>
      </x:c>
    </x:row>
    <x:row r="13" ht="68" customHeight="1">
      <x:c r="A13" s="14" t="n">
        <x:v>9</x:v>
      </x:c>
      <x:c r="B13" s="12" t="str">
        <x:v>Оперение охотника</x:v>
      </x:c>
      <x:c r="C13" s="12" t="str">
        <x:v>Лучник</x:v>
      </x:c>
      <x:c r="D13" s="12" t="str">
        <x:v>+7–12% скорости снарядов и +3–5% силы самонаведения.</x:v>
      </x:c>
      <x:c r="E13" s="12" t="str">
        <x:v>Одна карточка усиливает обе характеристики, но слабее специализированных карт.</x:v>
      </x:c>
      <x:c r="F13" s="15" t="str">
        <x:v>Нет</x:v>
      </x:c>
      <x:c r="G13" s="15" t="str">
        <x:v>Нет</x:v>
      </x:c>
      <x:c r="H13" s="15" t="str">
        <x:v>Нет</x:v>
      </x:c>
      <x:c r="I13" s="15" t="str">
        <x:v>Концепт</x:v>
      </x:c>
    </x:row>
    <x:row r="14" ht="68" customHeight="1">
      <x:c r="A14" s="14" t="n">
        <x:v>10</x:v>
      </x:c>
      <x:c r="B14" s="12" t="str">
        <x:v>Зазубренный наконечник</x:v>
      </x:c>
      <x:c r="C14" s="12" t="str">
        <x:v>Лучник</x:v>
      </x:c>
      <x:c r="D14" s="12" t="str">
        <x:v>За каждую уже пробитую цель стрела получает +3–6% урона.</x:v>
      </x:c>
      <x:c r="E14" s="12" t="str">
        <x:v>Работает до получения фиолетового «Сверхпробития» и складывается с ним после открытия.</x:v>
      </x:c>
      <x:c r="F14" s="15" t="str">
        <x:v>Нет</x:v>
      </x:c>
      <x:c r="G14" s="15" t="str">
        <x:v>Нет</x:v>
      </x:c>
      <x:c r="H14" s="15" t="str">
        <x:v>Нет</x:v>
      </x:c>
      <x:c r="I14" s="15" t="str">
        <x:v>Концепт</x:v>
      </x:c>
    </x:row>
    <x:row r="15" ht="68" customHeight="1">
      <x:c r="A15" s="14" t="n">
        <x:v>11</x:v>
      </x:c>
      <x:c r="B15" s="12" t="str">
        <x:v>Сердце взрыва</x:v>
      </x:c>
      <x:c r="C15" s="12" t="str">
        <x:v>Маг</x:v>
      </x:c>
      <x:c r="D15" s="12" t="str">
        <x:v>Враги во внутренней половине радиуса сферы получают +5–9% урона взрыва.</x:v>
      </x:c>
      <x:c r="E15" s="12" t="str">
        <x:v>Только взрыв сферы; прямое попадание не усиливается.</x:v>
      </x:c>
      <x:c r="F15" s="15" t="str">
        <x:v>Нет</x:v>
      </x:c>
      <x:c r="G15" s="15" t="str">
        <x:v>Нет</x:v>
      </x:c>
      <x:c r="H15" s="15" t="str">
        <x:v>Да</x:v>
      </x:c>
      <x:c r="I15" s="15" t="str">
        <x:v>К прототипу</x:v>
      </x:c>
    </x:row>
    <x:row r="16" ht="68" customHeight="1">
      <x:c r="A16" s="14" t="n">
        <x:v>12</x:v>
      </x:c>
      <x:c r="B16" s="12" t="str">
        <x:v>Остаточная аркана</x:v>
      </x:c>
      <x:c r="C16" s="12" t="str">
        <x:v>Маг</x:v>
      </x:c>
      <x:c r="D16" s="12" t="str">
        <x:v>После взрыва сферы её центр остаётся активным на 0,35 сек и наносит 3–5% урона сферы вошедшему врагу один раз.</x:v>
      </x:c>
      <x:c r="E16" s="12" t="str">
        <x:v>Один враг не может получить повторный тик от одного следа.</x:v>
      </x:c>
      <x:c r="F16" s="15" t="str">
        <x:v>Нет</x:v>
      </x:c>
      <x:c r="G16" s="15" t="str">
        <x:v>Нет</x:v>
      </x:c>
      <x:c r="H16" s="15" t="str">
        <x:v>Нет</x:v>
      </x:c>
      <x:c r="I16" s="15" t="str">
        <x:v>Концепт</x:v>
      </x:c>
    </x:row>
    <x:row r="17" ht="68" customHeight="1">
      <x:c r="A17" s="14" t="n">
        <x:v>13</x:v>
      </x:c>
      <x:c r="B17" s="12" t="str">
        <x:v>Перегретая сфера</x:v>
      </x:c>
      <x:c r="C17" s="12" t="str">
        <x:v>Маг</x:v>
      </x:c>
      <x:c r="D17" s="12" t="str">
        <x:v>Если один взрыв задел минимум 3 врагов, +4–7% скорости атаки на 1,5 сек.</x:v>
      </x:c>
      <x:c r="E17" s="12" t="str">
        <x:v>Сила стакается до +35%, таймер обновляется.</x:v>
      </x:c>
      <x:c r="F17" s="15" t="str">
        <x:v>Нет</x:v>
      </x:c>
      <x:c r="G17" s="15" t="str">
        <x:v>Нет</x:v>
      </x:c>
      <x:c r="H17" s="15" t="str">
        <x:v>Нет</x:v>
      </x:c>
      <x:c r="I17" s="15" t="str">
        <x:v>Концепт</x:v>
      </x:c>
    </x:row>
    <x:row r="18" ht="68" customHeight="1">
      <x:c r="A18" s="14" t="n">
        <x:v>14</x:v>
      </x:c>
      <x:c r="B18" s="12" t="str">
        <x:v>Дальний подрыв</x:v>
      </x:c>
      <x:c r="C18" s="12" t="str">
        <x:v>Маг</x:v>
      </x:c>
      <x:c r="D18" s="12" t="str">
        <x:v>Сфера, пролетевшая больше 250 единиц, получает +6–10% урона взрыва.</x:v>
      </x:c>
      <x:c r="E18" s="12" t="str">
        <x:v>Мини-сфера Мультипликации считает собственную дистанцию.</x:v>
      </x:c>
      <x:c r="F18" s="15" t="str">
        <x:v>Нет</x:v>
      </x:c>
      <x:c r="G18" s="15" t="str">
        <x:v>Нет</x:v>
      </x:c>
      <x:c r="H18" s="15" t="str">
        <x:v>Нет</x:v>
      </x:c>
      <x:c r="I18" s="15" t="str">
        <x:v>Концепт</x:v>
      </x:c>
    </x:row>
    <x:row r="19" ht="68" customHeight="1">
      <x:c r="A19" s="14" t="n">
        <x:v>15</x:v>
      </x:c>
      <x:c r="B19" s="12" t="str">
        <x:v>Свежие кости</x:v>
      </x:c>
      <x:c r="C19" s="12" t="str">
        <x:v>Некромант</x:v>
      </x:c>
      <x:c r="D19" s="12" t="str">
        <x:v>Убийство приспешником лечит ударившего бойца на 2–4% его максимального HP.</x:v>
      </x:c>
      <x:c r="E19" s="12" t="str">
        <x:v>Не лечит героя и не срабатывает от урона героя.</x:v>
      </x:c>
      <x:c r="F19" s="15" t="str">
        <x:v>Нет</x:v>
      </x:c>
      <x:c r="G19" s="15" t="str">
        <x:v>Нет</x:v>
      </x:c>
      <x:c r="H19" s="15" t="str">
        <x:v>Нет</x:v>
      </x:c>
      <x:c r="I19" s="15" t="str">
        <x:v>Концепт</x:v>
      </x:c>
    </x:row>
    <x:row r="20" ht="68" customHeight="1">
      <x:c r="A20" s="14" t="n">
        <x:v>16</x:v>
      </x:c>
      <x:c r="B20" s="12" t="str">
        <x:v>Долгая служба</x:v>
      </x:c>
      <x:c r="C20" s="12" t="str">
        <x:v>Некромант</x:v>
      </x:c>
      <x:c r="D20" s="12" t="str">
        <x:v>+5–8% к естественному сроку жизни призванных бойцов.</x:v>
      </x:c>
      <x:c r="E20" s="12" t="str">
        <x:v>Складывается до +80%; не меняет скорость воскрешения.</x:v>
      </x:c>
      <x:c r="F20" s="15" t="str">
        <x:v>Нет</x:v>
      </x:c>
      <x:c r="G20" s="15" t="str">
        <x:v>Нет</x:v>
      </x:c>
      <x:c r="H20" s="15" t="str">
        <x:v>Да</x:v>
      </x:c>
      <x:c r="I20" s="15" t="str">
        <x:v>К прототипу</x:v>
      </x:c>
    </x:row>
    <x:row r="21" ht="68" customHeight="1">
      <x:c r="A21" s="14" t="n">
        <x:v>17</x:v>
      </x:c>
      <x:c r="B21" s="12" t="str">
        <x:v>Общий приказ</x:v>
      </x:c>
      <x:c r="C21" s="12" t="str">
        <x:v>Некромант</x:v>
      </x:c>
      <x:c r="D21" s="12" t="str">
        <x:v>Каждый пятый прямой удар всей свиты наносит +12–20% урона.</x:v>
      </x:c>
      <x:c r="E21" s="12" t="str">
        <x:v>Счётчик общий на армию; дополнительный удар не создаётся.</x:v>
      </x:c>
      <x:c r="F21" s="15" t="str">
        <x:v>Нет</x:v>
      </x:c>
      <x:c r="G21" s="15" t="str">
        <x:v>Нет</x:v>
      </x:c>
      <x:c r="H21" s="15" t="str">
        <x:v>Нет</x:v>
      </x:c>
      <x:c r="I21" s="15" t="str">
        <x:v>Концепт</x:v>
      </x:c>
    </x:row>
    <x:row r="22" ht="68" customHeight="1">
      <x:c r="A22" s="14" t="n">
        <x:v>18</x:v>
      </x:c>
      <x:c r="B22" s="12" t="str">
        <x:v>Поле костей</x:v>
      </x:c>
      <x:c r="C22" s="12" t="str">
        <x:v>Некромант</x:v>
      </x:c>
      <x:c r="D22" s="12" t="str">
        <x:v>+2–4% урона свиты за каждый лежащий рядом труп.</x:v>
      </x:c>
      <x:c r="E22" s="12" t="str">
        <x:v>Радиус 220, максимум 6 трупов; сами трупы не расходуются.</x:v>
      </x:c>
      <x:c r="F22" s="15" t="str">
        <x:v>Нет</x:v>
      </x:c>
      <x:c r="G22" s="15" t="str">
        <x:v>Нет</x:v>
      </x:c>
      <x:c r="H22" s="15" t="str">
        <x:v>Нет</x:v>
      </x:c>
      <x:c r="I22" s="15" t="str">
        <x:v>Концепт</x:v>
      </x:c>
    </x:row>
    <x:row r="23" ht="68" customHeight="1">
      <x:c r="A23" s="14" t="n">
        <x:v>19</x:v>
      </x:c>
      <x:c r="B23" s="12" t="str">
        <x:v>Быстрое восстановление</x:v>
      </x:c>
      <x:c r="C23" s="12" t="str">
        <x:v>Все</x:v>
      </x:c>
      <x:c r="D23" s="12" t="str">
        <x:v>+6–10% скорости восстановления зарядов рывка.</x:v>
      </x:c>
      <x:c r="E23" s="12" t="str">
        <x:v>Складывается до +60%. Не добавляет новый заряд.</x:v>
      </x:c>
      <x:c r="F23" s="15" t="str">
        <x:v>Нет</x:v>
      </x:c>
      <x:c r="G23" s="15" t="str">
        <x:v>Нет</x:v>
      </x:c>
      <x:c r="H23" s="15" t="str">
        <x:v>Нет</x:v>
      </x:c>
      <x:c r="I23" s="15" t="str">
        <x:v>Концепт</x:v>
      </x:c>
    </x:row>
    <x:row r="24" ht="68" customHeight="1">
      <x:c r="A24" s="14" t="n">
        <x:v>20</x:v>
      </x:c>
      <x:c r="B24" s="12" t="str">
        <x:v>Длинный рывок</x:v>
      </x:c>
      <x:c r="C24" s="12" t="str">
        <x:v>Все</x:v>
      </x:c>
      <x:c r="D24" s="12" t="str">
        <x:v>+5–8% дистанции рывка.</x:v>
      </x:c>
      <x:c r="E24" s="12" t="str">
        <x:v>Складывается до +40%; длительность неуязвимости не растёт.</x:v>
      </x:c>
      <x:c r="F24" s="15" t="str">
        <x:v>Нет</x:v>
      </x:c>
      <x:c r="G24" s="15" t="str">
        <x:v>Нет</x:v>
      </x:c>
      <x:c r="H24" s="15" t="str">
        <x:v>Нет</x:v>
      </x:c>
      <x:c r="I24" s="15" t="str">
        <x:v>Концепт</x:v>
      </x:c>
    </x:row>
    <x:row r="25" ht="68" customHeight="1">
      <x:c r="A25" s="14" t="n">
        <x:v>21</x:v>
      </x:c>
      <x:c r="B25" s="12" t="str">
        <x:v>Воля к жизни</x:v>
      </x:c>
      <x:c r="C25" s="12" t="str">
        <x:v>Все</x:v>
      </x:c>
      <x:c r="D25" s="12" t="str">
        <x:v>Ниже 50% HP герой получает +1–2,5 HP/сек регенерации.</x:v>
      </x:c>
      <x:c r="E25" s="12" t="str">
        <x:v>Складывается без потолка; при полном HP не создаёт щит.</x:v>
      </x:c>
      <x:c r="F25" s="15" t="str">
        <x:v>Нет</x:v>
      </x:c>
      <x:c r="G25" s="15" t="str">
        <x:v>Нет</x:v>
      </x:c>
      <x:c r="H25" s="15" t="str">
        <x:v>Нет</x:v>
      </x:c>
      <x:c r="I25" s="15" t="str">
        <x:v>Концепт</x:v>
      </x:c>
    </x:row>
    <x:row r="26" ht="68" customHeight="1">
      <x:c r="A26" s="14" t="n">
        <x:v>22</x:v>
      </x:c>
      <x:c r="B26" s="12" t="str">
        <x:v>Трофей элиты</x:v>
      </x:c>
      <x:c r="C26" s="12" t="str">
        <x:v>Все</x:v>
      </x:c>
      <x:c r="D26" s="12" t="str">
        <x:v>После убийства элиты или босса +6–10% ко всему урону на 4 сек.</x:v>
      </x:c>
      <x:c r="E26" s="12" t="str">
        <x:v>Сила складывается, длительность обновляется. Обычные враги не включают эффект.</x:v>
      </x:c>
      <x:c r="F26" s="15" t="str">
        <x:v>Нет</x:v>
      </x:c>
      <x:c r="G26" s="15" t="str">
        <x:v>Нет</x:v>
      </x:c>
      <x:c r="H26" s="15" t="str">
        <x:v>Нет</x:v>
      </x:c>
      <x:c r="I26" s="15" t="str">
        <x:v>Концепт</x:v>
      </x:c>
    </x:row>
    <x:row r="27" ht="68" customHeight="1">
      <x:c r="A27" s="14" t="n">
        <x:v>23</x:v>
      </x:c>
      <x:c r="B27" s="12" t="str">
        <x:v>Несгибаемость</x:v>
      </x:c>
      <x:c r="C27" s="12" t="str">
        <x:v>Все</x:v>
      </x:c>
      <x:c r="D27" s="12" t="str">
        <x:v>−6–10% длительности входящих замедлений и оглушений.</x:v>
      </x:c>
      <x:c r="E27" s="12" t="str">
        <x:v>Складывается до −60%; не влияет на урон эффектов.</x:v>
      </x:c>
      <x:c r="F27" s="15" t="str">
        <x:v>Нет</x:v>
      </x:c>
      <x:c r="G27" s="15" t="str">
        <x:v>Нет</x:v>
      </x:c>
      <x:c r="H27" s="15" t="str">
        <x:v>Нет</x:v>
      </x:c>
      <x:c r="I27" s="15" t="str">
        <x:v>Концепт</x:v>
      </x:c>
    </x:row>
    <x:row r="28" ht="68" customHeight="1">
      <x:c r="A28" s="14" t="n">
        <x:v>24</x:v>
      </x:c>
      <x:c r="B28" s="12" t="str">
        <x:v>Передышка</x:v>
      </x:c>
      <x:c r="C28" s="12" t="str">
        <x:v>Все</x:v>
      </x:c>
      <x:c r="D28" s="12" t="str">
        <x:v>Если герой 3 сек не получает урон, регенерация усиливается на 20–35%.</x:v>
      </x:c>
      <x:c r="E28" s="12" t="str">
        <x:v>Бонус пропадает сразу после фактического урона; уклонение не сбрасывает таймер.</x:v>
      </x:c>
      <x:c r="F28" s="15" t="str">
        <x:v>Нет</x:v>
      </x:c>
      <x:c r="G28" s="15" t="str">
        <x:v>Нет</x:v>
      </x:c>
      <x:c r="H28" s="15" t="str">
        <x:v>Нет</x:v>
      </x:c>
      <x:c r="I28" s="15" t="str">
        <x:v>Концепт</x:v>
      </x:c>
    </x:row>
  </x:sheetData>
  <x:mergeCells>
    <x:mergeCell ref="A1:I1"/>
    <x:mergeCell ref="A2:I2"/>
  </x:mergeCells>
  <x:conditionalFormatting sqref="H5:H28">
    <x:cfRule type="containsText" dxfId="0" priority="1" operator="containsText" text="Да"/>
  </x:conditionalFormatting>
  <x:conditionalFormatting sqref="I5:I28">
    <x:cfRule type="containsText" dxfId="1" priority="2" operator="containsText" text="К прототипу"/>
  </x:conditionalFormatting>
  <x:dataValidations count="1">
    <x:dataValidation type="list" sqref="I5:I28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bf39e1f5d2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22" hidden="0" customWidth="1"/>
    <x:col min="4" max="4" width="56" hidden="0" customWidth="1"/>
    <x:col min="5" max="5" width="58" hidden="0" customWidth="1"/>
    <x:col min="6" max="6" width="13" hidden="0" customWidth="1"/>
    <x:col min="7" max="7" width="10" hidden="0" customWidth="1"/>
    <x:col min="8" max="8" width="17" hidden="0" customWidth="1"/>
    <x:col min="9" max="9" width="16" hidden="0" customWidth="1"/>
  </x:cols>
  <x:sheetData>
    <x:row r="1" ht="30" customHeight="1">
      <x:c r="A1" s="18" t="str">
        <x:v>Синяя редкость — 20 идей</x:v>
      </x:c>
      <x:c r="B1" s="18" t="str">
        <x:v>Синяя редкость — 20 идей</x:v>
      </x:c>
      <x:c r="C1" s="18" t="str">
        <x:v>Синяя редкость — 20 идей</x:v>
      </x:c>
      <x:c r="D1" s="18" t="str">
        <x:v>Синяя редкость — 20 идей</x:v>
      </x:c>
      <x:c r="E1" s="18" t="str">
        <x:v>Синяя редкость — 20 идей</x:v>
      </x:c>
      <x:c r="F1" s="18" t="str">
        <x:v>Синяя редкость — 20 идей</x:v>
      </x:c>
      <x:c r="G1" s="18" t="str">
        <x:v>Синяя редкость — 20 идей</x:v>
      </x:c>
      <x:c r="H1" s="18" t="str">
        <x:v>Синяя редкость — 20 идей</x:v>
      </x:c>
      <x:c r="I1" s="18" t="str">
        <x:v>Синяя редкость — 20 идей</x:v>
      </x:c>
    </x:row>
    <x:row r="2" ht="32" customHeight="1">
      <x:c r="A2" s="7" t="str">
        <x:v>Числа являются стартовыми гипотезами для прототипа. Фильтруйте по классу, одноразовости, ветке и приоритету.</x:v>
      </x:c>
      <x:c r="B2" s="7" t="str">
        <x:v>Числа являются стартовыми гипотезами для прототипа. Фильтруйте по классу, одноразовости, ветке и приоритету.</x:v>
      </x:c>
      <x:c r="C2" s="7" t="str">
        <x:v>Числа являются стартовыми гипотезами для прототипа. Фильтруйте по классу, одноразовости, ветке и приоритету.</x:v>
      </x:c>
      <x:c r="D2" s="7" t="str">
        <x:v>Числа являются стартовыми гипотезами для прототипа. Фильтруйте по классу, одноразовости, ветке и приоритету.</x:v>
      </x:c>
      <x:c r="E2" s="7" t="str">
        <x:v>Числа являются стартовыми гипотезами для прототипа. Фильтруйте по классу, одноразовости, ветке и приоритету.</x:v>
      </x:c>
      <x:c r="F2" s="7" t="str">
        <x:v>Числа являются стартовыми гипотезами для прототипа. Фильтруйте по классу, одноразовости, ветке и приоритету.</x:v>
      </x:c>
      <x:c r="G2" s="7" t="str">
        <x:v>Числа являются стартовыми гипотезами для прототипа. Фильтруйте по классу, одноразовости, ветке и приоритету.</x:v>
      </x:c>
      <x:c r="H2" s="7" t="str">
        <x:v>Числа являются стартовыми гипотезами для прототипа. Фильтруйте по классу, одноразовости, ветке и приоритету.</x:v>
      </x:c>
      <x:c r="I2" s="7" t="str">
        <x:v>Числа являются стартовыми гипотезами для прототипа. Фильтруйте по классу, одноразовости, ветке и приоритету.</x:v>
      </x:c>
    </x:row>
    <x:row r="4" ht="34" customHeight="1">
      <x:c r="A4" s="20" t="str">
        <x:v>№</x:v>
      </x:c>
      <x:c r="B4" s="20" t="str">
        <x:v>Название</x:v>
      </x:c>
      <x:c r="C4" s="20" t="str">
        <x:v>Класс</x:v>
      </x:c>
      <x:c r="D4" s="20" t="str">
        <x:v>Эффект / выгода</x:v>
      </x:c>
      <x:c r="E4" s="20" t="str">
        <x:v>Условия, ограничения или цена</x:v>
      </x:c>
      <x:c r="F4" s="20" t="str">
        <x:v>Одноразовая</x:v>
      </x:c>
      <x:c r="G4" s="20" t="str">
        <x:v>Ветка</x:v>
      </x:c>
      <x:c r="H4" s="20" t="str">
        <x:v>Первый прототип</x:v>
      </x:c>
      <x:c r="I4" s="20" t="str">
        <x:v>Статус</x:v>
      </x:c>
    </x:row>
    <x:row r="5" ht="68" customHeight="1">
      <x:c r="A5" s="14" t="n">
        <x:v>1</x:v>
      </x:c>
      <x:c r="B5" s="12" t="str">
        <x:v>Критическая батарея</x:v>
      </x:c>
      <x:c r="C5" s="12" t="str">
        <x:v>Все</x:v>
      </x:c>
      <x:c r="D5" s="12" t="str">
        <x:v>Каждый некритический прямой удар даёт +4 п.п. шанса крита следующему удару. После крита заряд обнуляется.</x:v>
      </x:c>
      <x:c r="E5" s="12" t="str">
        <x:v>Одноразовая. Максимум заряда +40 п.п. Волны и DoT заряд не копят.</x:v>
      </x:c>
      <x:c r="F5" s="15" t="str">
        <x:v>Да</x:v>
      </x:c>
      <x:c r="G5" s="15" t="str">
        <x:v>Нет</x:v>
      </x:c>
      <x:c r="H5" s="15" t="str">
        <x:v>Да</x:v>
      </x:c>
      <x:c r="I5" s="15" t="str">
        <x:v>К прототипу</x:v>
      </x:c>
    </x:row>
    <x:row r="6" ht="68" customHeight="1">
      <x:c r="A6" s="14" t="n">
        <x:v>2</x:v>
      </x:c>
      <x:c r="B6" s="12" t="str">
        <x:v>Запас прочности</x:v>
      </x:c>
      <x:c r="C6" s="12" t="str">
        <x:v>Все</x:v>
      </x:c>
      <x:c r="D6" s="12" t="str">
        <x:v>20% избыточного урона при убийстве превращается во временный барьер.</x:v>
      </x:c>
      <x:c r="E6" s="12" t="str">
        <x:v>Одноразовая. Потолок барьера 12% max HP; существует 4 сек.</x:v>
      </x:c>
      <x:c r="F6" s="15" t="str">
        <x:v>Да</x:v>
      </x:c>
      <x:c r="G6" s="15" t="str">
        <x:v>Нет</x:v>
      </x:c>
      <x:c r="H6" s="15" t="str">
        <x:v>Нет</x:v>
      </x:c>
      <x:c r="I6" s="15" t="str">
        <x:v>Концепт</x:v>
      </x:c>
    </x:row>
    <x:row r="7" ht="68" customHeight="1">
      <x:c r="A7" s="14" t="n">
        <x:v>3</x:v>
      </x:c>
      <x:c r="B7" s="12" t="str">
        <x:v>Чистое убийство</x:v>
      </x:c>
      <x:c r="C7" s="12" t="str">
        <x:v>Все</x:v>
      </x:c>
      <x:c r="D7" s="12" t="str">
        <x:v>Убийство врага одним попаданием восстанавливает 8% текущего отката рывка.</x:v>
      </x:c>
      <x:c r="E7" s="12" t="str">
        <x:v>Одноразовая. Массовый взрыв восстанавливает не чаще одного раза за кадр.</x:v>
      </x:c>
      <x:c r="F7" s="15" t="str">
        <x:v>Да</x:v>
      </x:c>
      <x:c r="G7" s="15" t="str">
        <x:v>Нет</x:v>
      </x:c>
      <x:c r="H7" s="15" t="str">
        <x:v>Да</x:v>
      </x:c>
      <x:c r="I7" s="15" t="str">
        <x:v>К прототипу</x:v>
      </x:c>
    </x:row>
    <x:row r="8" ht="68" customHeight="1">
      <x:c r="A8" s="14" t="n">
        <x:v>4</x:v>
      </x:c>
      <x:c r="B8" s="12" t="str">
        <x:v>Эхо атаки</x:v>
      </x:c>
      <x:c r="C8" s="12" t="str">
        <x:v>Все</x:v>
      </x:c>
      <x:c r="D8" s="12" t="str">
        <x:v>Каждый четвёртый прямой удар повторяется через 0,18 сек с силой 30%.</x:v>
      </x:c>
      <x:c r="E8" s="12" t="str">
        <x:v>Одноразовая. Эхо не создаёт другое эхо и не бросает двойное попадание.</x:v>
      </x:c>
      <x:c r="F8" s="15" t="str">
        <x:v>Да</x:v>
      </x:c>
      <x:c r="G8" s="15" t="str">
        <x:v>Нет</x:v>
      </x:c>
      <x:c r="H8" s="15" t="str">
        <x:v>Нет</x:v>
      </x:c>
      <x:c r="I8" s="15" t="str">
        <x:v>Концепт</x:v>
      </x:c>
    </x:row>
    <x:row r="9" ht="68" customHeight="1">
      <x:c r="A9" s="14" t="n">
        <x:v>5</x:v>
      </x:c>
      <x:c r="B9" s="12" t="str">
        <x:v>Снятие панциря</x:v>
      </x:c>
      <x:c r="C9" s="12" t="str">
        <x:v>Все</x:v>
      </x:c>
      <x:c r="D9" s="12" t="str">
        <x:v>Оглушение или сильное отбрасывание уменьшает броню врага на 8% на 2 сек.</x:v>
      </x:c>
      <x:c r="E9" s="12" t="str">
        <x:v>До 4 стаков. На боссах сила стека вдвое меньше.</x:v>
      </x:c>
      <x:c r="F9" s="15" t="str">
        <x:v>Нет</x:v>
      </x:c>
      <x:c r="G9" s="15" t="str">
        <x:v>Нет</x:v>
      </x:c>
      <x:c r="H9" s="15" t="str">
        <x:v>Нет</x:v>
      </x:c>
      <x:c r="I9" s="15" t="str">
        <x:v>Концепт</x:v>
      </x:c>
    </x:row>
    <x:row r="10" ht="68" customHeight="1">
      <x:c r="A10" s="14" t="n">
        <x:v>6</x:v>
      </x:c>
      <x:c r="B10" s="12" t="str">
        <x:v>Смена полярности</x:v>
      </x:c>
      <x:c r="C10" s="12" t="str">
        <x:v>Все</x:v>
      </x:c>
      <x:c r="D10" s="12" t="str">
        <x:v>Попадание одной стихией даёт следующей другой стихии +12% силы эффекта.</x:v>
      </x:c>
      <x:c r="E10" s="12" t="str">
        <x:v>Одноразовая. Повтор той же стихии обновляет ожидание, но не получает бонус.</x:v>
      </x:c>
      <x:c r="F10" s="15" t="str">
        <x:v>Да</x:v>
      </x:c>
      <x:c r="G10" s="15" t="str">
        <x:v>Нет</x:v>
      </x:c>
      <x:c r="H10" s="15" t="str">
        <x:v>Нет</x:v>
      </x:c>
      <x:c r="I10" s="15" t="str">
        <x:v>Концепт</x:v>
      </x:c>
    </x:row>
    <x:row r="11" ht="68" customHeight="1">
      <x:c r="A11" s="14" t="n">
        <x:v>7</x:v>
      </x:c>
      <x:c r="B11" s="12" t="str">
        <x:v>Терновый круг</x:v>
      </x:c>
      <x:c r="C11" s="12" t="str">
        <x:v>Воин</x:v>
      </x:c>
      <x:c r="D11" s="12" t="str">
        <x:v>Когда шипы наносят урон, соседние враги получают 25% значения шипов.</x:v>
      </x:c>
      <x:c r="E11" s="12" t="str">
        <x:v>Ветка после первых шипов. Одноразовая; основная цель второй раз не повреждается.</x:v>
      </x:c>
      <x:c r="F11" s="15" t="str">
        <x:v>Да</x:v>
      </x:c>
      <x:c r="G11" s="15" t="str">
        <x:v>Да</x:v>
      </x:c>
      <x:c r="H11" s="15" t="str">
        <x:v>Да</x:v>
      </x:c>
      <x:c r="I11" s="15" t="str">
        <x:v>К прототипу</x:v>
      </x:c>
    </x:row>
    <x:row r="12" ht="68" customHeight="1">
      <x:c r="A12" s="14" t="n">
        <x:v>8</x:v>
      </x:c>
      <x:c r="B12" s="12" t="str">
        <x:v>Удар о стену</x:v>
      </x:c>
      <x:c r="C12" s="12" t="str">
        <x:v>Воин</x:v>
      </x:c>
      <x:c r="D12" s="12" t="str">
        <x:v>Сильно отброшенный враг при остановке получает 18% урона последнего ближнего удара.</x:v>
      </x:c>
      <x:c r="E12" s="12" t="str">
        <x:v>Одноразовая. Один толчок наносит урон один раз; применяется защита цели.</x:v>
      </x:c>
      <x:c r="F12" s="15" t="str">
        <x:v>Да</x:v>
      </x:c>
      <x:c r="G12" s="15" t="str">
        <x:v>Нет</x:v>
      </x:c>
      <x:c r="H12" s="15" t="str">
        <x:v>Нет</x:v>
      </x:c>
      <x:c r="I12" s="15" t="str">
        <x:v>Концепт</x:v>
      </x:c>
    </x:row>
    <x:row r="13" ht="68" customHeight="1">
      <x:c r="A13" s="14" t="n">
        <x:v>9</x:v>
      </x:c>
      <x:c r="B13" s="12" t="str">
        <x:v>Три шага клинка</x:v>
      </x:c>
      <x:c r="C13" s="12" t="str">
        <x:v>Воин</x:v>
      </x:c>
      <x:c r="D13" s="12" t="str">
        <x:v>Первый/второй/третий последовательный взмах получают +0%/+10%/+25% радиуса.</x:v>
      </x:c>
      <x:c r="E13" s="12" t="str">
        <x:v>Одноразовая. После третьего цикл начинается заново.</x:v>
      </x:c>
      <x:c r="F13" s="15" t="str">
        <x:v>Да</x:v>
      </x:c>
      <x:c r="G13" s="15" t="str">
        <x:v>Нет</x:v>
      </x:c>
      <x:c r="H13" s="15" t="str">
        <x:v>Нет</x:v>
      </x:c>
      <x:c r="I13" s="15" t="str">
        <x:v>Концепт</x:v>
      </x:c>
    </x:row>
    <x:row r="14" ht="68" customHeight="1">
      <x:c r="A14" s="14" t="n">
        <x:v>10</x:v>
      </x:c>
      <x:c r="B14" s="12" t="str">
        <x:v>Железная ярость</x:v>
      </x:c>
      <x:c r="C14" s="12" t="str">
        <x:v>Воин</x:v>
      </x:c>
      <x:c r="D14" s="12" t="str">
        <x:v>Потеря 10% max HP даёт +5% урона ближнего боя на 3 сек.</x:v>
      </x:c>
      <x:c r="E14" s="12" t="str">
        <x:v>До 5 стаков; лечение не удаляет уже полученные стаки.</x:v>
      </x:c>
      <x:c r="F14" s="15" t="str">
        <x:v>Нет</x:v>
      </x:c>
      <x:c r="G14" s="15" t="str">
        <x:v>Нет</x:v>
      </x:c>
      <x:c r="H14" s="15" t="str">
        <x:v>Нет</x:v>
      </x:c>
      <x:c r="I14" s="15" t="str">
        <x:v>Концепт</x:v>
      </x:c>
    </x:row>
    <x:row r="15" ht="68" customHeight="1">
      <x:c r="A15" s="14" t="n">
        <x:v>11</x:v>
      </x:c>
      <x:c r="B15" s="12" t="str">
        <x:v>Раздвоенная стрела</x:v>
      </x:c>
      <x:c r="C15" s="12" t="str">
        <x:v>Лучник</x:v>
      </x:c>
      <x:c r="D15" s="12" t="str">
        <x:v>После первого попадания стрела выпускает две боковые стрелы по 22% урона.</x:v>
      </x:c>
      <x:c r="E15" s="12" t="str">
        <x:v>Одноразовая. Осколки не пробивают, не отскакивают и не делятся снова.</x:v>
      </x:c>
      <x:c r="F15" s="15" t="str">
        <x:v>Да</x:v>
      </x:c>
      <x:c r="G15" s="15" t="str">
        <x:v>Нет</x:v>
      </x:c>
      <x:c r="H15" s="15" t="str">
        <x:v>Нет</x:v>
      </x:c>
      <x:c r="I15" s="15" t="str">
        <x:v>Концепт</x:v>
      </x:c>
    </x:row>
    <x:row r="16" ht="68" customHeight="1">
      <x:c r="A16" s="14" t="n">
        <x:v>12</x:v>
      </x:c>
      <x:c r="B16" s="12" t="str">
        <x:v>Пригвождение</x:v>
      </x:c>
      <x:c r="C16" s="12" t="str">
        <x:v>Лучник</x:v>
      </x:c>
      <x:c r="D16" s="12" t="str">
        <x:v>Дальний удар замедляет цель на 20% на 0,8 сек.</x:v>
      </x:c>
      <x:c r="E16" s="12" t="str">
        <x:v>Одноразовая. Появляется после любой карточки дальнего урона или скорости стрел.</x:v>
      </x:c>
      <x:c r="F16" s="15" t="str">
        <x:v>Да</x:v>
      </x:c>
      <x:c r="G16" s="15" t="str">
        <x:v>Нет</x:v>
      </x:c>
      <x:c r="H16" s="15" t="str">
        <x:v>Нет</x:v>
      </x:c>
      <x:c r="I16" s="15" t="str">
        <x:v>Концепт</x:v>
      </x:c>
    </x:row>
    <x:row r="17" ht="68" customHeight="1">
      <x:c r="A17" s="14" t="n">
        <x:v>13</x:v>
      </x:c>
      <x:c r="B17" s="12" t="str">
        <x:v>Возвратный выстрел</x:v>
      </x:c>
      <x:c r="C17" s="12" t="str">
        <x:v>Лучник</x:v>
      </x:c>
      <x:c r="D17" s="12" t="str">
        <x:v>Исчезнувшая после последней цели стрела летит назад к герою и наносит 30% урона новым целям.</x:v>
      </x:c>
      <x:c r="E17" s="12" t="str">
        <x:v>Одноразовая. Обратный путь не повторяет отскоки.</x:v>
      </x:c>
      <x:c r="F17" s="15" t="str">
        <x:v>Да</x:v>
      </x:c>
      <x:c r="G17" s="15" t="str">
        <x:v>Нет</x:v>
      </x:c>
      <x:c r="H17" s="15" t="str">
        <x:v>Нет</x:v>
      </x:c>
      <x:c r="I17" s="15" t="str">
        <x:v>Концепт</x:v>
      </x:c>
    </x:row>
    <x:row r="18" ht="68" customHeight="1">
      <x:c r="A18" s="14" t="n">
        <x:v>14</x:v>
      </x:c>
      <x:c r="B18" s="12" t="str">
        <x:v>Метка добычи</x:v>
      </x:c>
      <x:c r="C18" s="12" t="str">
        <x:v>Лучник</x:v>
      </x:c>
      <x:c r="D18" s="12" t="str">
        <x:v>Каждая шестая стрела помечает цель на 3 сек; Лучник наносит ей +15% урона.</x:v>
      </x:c>
      <x:c r="E18" s="12" t="str">
        <x:v>Одноразовая. Одновременно активна одна метка.</x:v>
      </x:c>
      <x:c r="F18" s="15" t="str">
        <x:v>Да</x:v>
      </x:c>
      <x:c r="G18" s="15" t="str">
        <x:v>Нет</x:v>
      </x:c>
      <x:c r="H18" s="15" t="str">
        <x:v>Нет</x:v>
      </x:c>
      <x:c r="I18" s="15" t="str">
        <x:v>Концепт</x:v>
      </x:c>
    </x:row>
    <x:row r="19" ht="68" customHeight="1">
      <x:c r="A19" s="14" t="n">
        <x:v>15</x:v>
      </x:c>
      <x:c r="B19" s="12" t="str">
        <x:v>Арканная мина</x:v>
      </x:c>
      <x:c r="C19" s="12" t="str">
        <x:v>Маг</x:v>
      </x:c>
      <x:c r="D19" s="12" t="str">
        <x:v>Сфера, никого не задевшая до конца полёта, оставляет мину на 3 сек с уроном 45% взрыва.</x:v>
      </x:c>
      <x:c r="E19" s="12" t="str">
        <x:v>Одноразовая. Мина срабатывает один раз и применяет защиту целей.</x:v>
      </x:c>
      <x:c r="F19" s="15" t="str">
        <x:v>Да</x:v>
      </x:c>
      <x:c r="G19" s="15" t="str">
        <x:v>Нет</x:v>
      </x:c>
      <x:c r="H19" s="15" t="str">
        <x:v>Да</x:v>
      </x:c>
      <x:c r="I19" s="15" t="str">
        <x:v>К прототипу</x:v>
      </x:c>
    </x:row>
    <x:row r="20" ht="68" customHeight="1">
      <x:c r="A20" s="14" t="n">
        <x:v>16</x:v>
      </x:c>
      <x:c r="B20" s="12" t="str">
        <x:v>Повторная детонация</x:v>
      </x:c>
      <x:c r="C20" s="12" t="str">
        <x:v>Маг</x:v>
      </x:c>
      <x:c r="D20" s="12" t="str">
        <x:v>Через 0,25 сек после взрыва сферы происходит второй взрыв на 20% фактически нанесённого первым урона.</x:v>
      </x:c>
      <x:c r="E20" s="12" t="str">
        <x:v>Одноразовая. Вторая детонация имеет 70% радиуса и не повторяется.</x:v>
      </x:c>
      <x:c r="F20" s="15" t="str">
        <x:v>Да</x:v>
      </x:c>
      <x:c r="G20" s="15" t="str">
        <x:v>Нет</x:v>
      </x:c>
      <x:c r="H20" s="15" t="str">
        <x:v>Нет</x:v>
      </x:c>
      <x:c r="I20" s="15" t="str">
        <x:v>Концепт</x:v>
      </x:c>
    </x:row>
    <x:row r="21" ht="68" customHeight="1">
      <x:c r="A21" s="14" t="n">
        <x:v>17</x:v>
      </x:c>
      <x:c r="B21" s="12" t="str">
        <x:v>Ложное ядро</x:v>
      </x:c>
      <x:c r="C21" s="12" t="str">
        <x:v>Маг Мультипликации</x:v>
      </x:c>
      <x:c r="D21" s="12" t="str">
        <x:v>Несработавшая проверка мини-сферы накапливает +5 п.п. к следующей проверке. После успеха шанс возвращается к 35%.</x:v>
      </x:c>
      <x:c r="E21" s="12" t="str">
        <x:v>Одноразовая подклассовая карта; дополнительный шанс ограничен +30 п.п.</x:v>
      </x:c>
      <x:c r="F21" s="15" t="str">
        <x:v>Да</x:v>
      </x:c>
      <x:c r="G21" s="15" t="str">
        <x:v>Нет</x:v>
      </x:c>
      <x:c r="H21" s="15" t="str">
        <x:v>Нет</x:v>
      </x:c>
      <x:c r="I21" s="15" t="str">
        <x:v>Концепт</x:v>
      </x:c>
    </x:row>
    <x:row r="22" ht="68" customHeight="1">
      <x:c r="A22" s="14" t="n">
        <x:v>18</x:v>
      </x:c>
      <x:c r="B22" s="12" t="str">
        <x:v>Костяной знаменосец</x:v>
      </x:c>
      <x:c r="C22" s="12" t="str">
        <x:v>Некромант</x:v>
      </x:c>
      <x:c r="D22" s="12" t="str">
        <x:v>Один случайный скелет становится знаменосцем и даёт ближайшей свите +12% скорости атаки.</x:v>
      </x:c>
      <x:c r="E22" s="12" t="str">
        <x:v>Одноразовая. После смерти роль переходит новому бойцу через 1 сек.</x:v>
      </x:c>
      <x:c r="F22" s="15" t="str">
        <x:v>Да</x:v>
      </x:c>
      <x:c r="G22" s="15" t="str">
        <x:v>Нет</x:v>
      </x:c>
      <x:c r="H22" s="15" t="str">
        <x:v>Нет</x:v>
      </x:c>
      <x:c r="I22" s="15" t="str">
        <x:v>Концепт</x:v>
      </x:c>
    </x:row>
    <x:row r="23" ht="68" customHeight="1">
      <x:c r="A23" s="14" t="n">
        <x:v>19</x:v>
      </x:c>
      <x:c r="B23" s="12" t="str">
        <x:v>Последний приказ</x:v>
      </x:c>
      <x:c r="C23" s="12" t="str">
        <x:v>Некромант</x:v>
      </x:c>
      <x:c r="D23" s="12" t="str">
        <x:v>Естественная смерть приспешника заставляет его немедленно нанести ещё один удар ближайшей цели.</x:v>
      </x:c>
      <x:c r="E23" s="12" t="str">
        <x:v>Одноразовая. Принудительно пожертвованные бойцы эффекта не получают.</x:v>
      </x:c>
      <x:c r="F23" s="15" t="str">
        <x:v>Да</x:v>
      </x:c>
      <x:c r="G23" s="15" t="str">
        <x:v>Нет</x:v>
      </x:c>
      <x:c r="H23" s="15" t="str">
        <x:v>Да</x:v>
      </x:c>
      <x:c r="I23" s="15" t="str">
        <x:v>К прототипу</x:v>
      </x:c>
    </x:row>
    <x:row r="24" ht="68" customHeight="1">
      <x:c r="A24" s="14" t="n">
        <x:v>20</x:v>
      </x:c>
      <x:c r="B24" s="12" t="str">
        <x:v>Могильная передача</x:v>
      </x:c>
      <x:c r="C24" s="12" t="str">
        <x:v>Некромант</x:v>
      </x:c>
      <x:c r="D24" s="12" t="str">
        <x:v>При смерти бойца 30% его оставшегося времени жизни передаётся ближайшему приспешнику.</x:v>
      </x:c>
      <x:c r="E24" s="12" t="str">
        <x:v>Одноразовая. Получатель не может превысить 20 сек оставшегося времени.</x:v>
      </x:c>
      <x:c r="F24" s="15" t="str">
        <x:v>Да</x:v>
      </x:c>
      <x:c r="G24" s="15" t="str">
        <x:v>Нет</x:v>
      </x:c>
      <x:c r="H24" s="15" t="str">
        <x:v>Нет</x:v>
      </x:c>
      <x:c r="I24" s="15" t="str">
        <x:v>Концепт</x:v>
      </x:c>
    </x:row>
  </x:sheetData>
  <x:mergeCells>
    <x:mergeCell ref="A1:I1"/>
    <x:mergeCell ref="A2:I2"/>
  </x:mergeCells>
  <x:conditionalFormatting sqref="H5:H24">
    <x:cfRule type="containsText" dxfId="2" priority="1" operator="containsText" text="Да"/>
  </x:conditionalFormatting>
  <x:conditionalFormatting sqref="I5:I24">
    <x:cfRule type="containsText" dxfId="3" priority="2" operator="containsText" text="К прототипу"/>
  </x:conditionalFormatting>
  <x:dataValidations count="1">
    <x:dataValidation type="list" sqref="I5:I24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de734a947945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22" hidden="0" customWidth="1"/>
    <x:col min="4" max="4" width="56" hidden="0" customWidth="1"/>
    <x:col min="5" max="5" width="58" hidden="0" customWidth="1"/>
    <x:col min="6" max="6" width="13" hidden="0" customWidth="1"/>
    <x:col min="7" max="7" width="10" hidden="0" customWidth="1"/>
    <x:col min="8" max="8" width="17" hidden="0" customWidth="1"/>
    <x:col min="9" max="9" width="16" hidden="0" customWidth="1"/>
  </x:cols>
  <x:sheetData>
    <x:row r="1" ht="30" customHeight="1">
      <x:c r="A1" s="23" t="str">
        <x:v>Фиолетовая редкость — 16 идей</x:v>
      </x:c>
      <x:c r="B1" s="23" t="str">
        <x:v>Фиолетовая редкость — 16 идей</x:v>
      </x:c>
      <x:c r="C1" s="23" t="str">
        <x:v>Фиолетовая редкость — 16 идей</x:v>
      </x:c>
      <x:c r="D1" s="23" t="str">
        <x:v>Фиолетовая редкость — 16 идей</x:v>
      </x:c>
      <x:c r="E1" s="23" t="str">
        <x:v>Фиолетовая редкость — 16 идей</x:v>
      </x:c>
      <x:c r="F1" s="23" t="str">
        <x:v>Фиолетовая редкость — 16 идей</x:v>
      </x:c>
      <x:c r="G1" s="23" t="str">
        <x:v>Фиолетовая редкость — 16 идей</x:v>
      </x:c>
      <x:c r="H1" s="23" t="str">
        <x:v>Фиолетовая редкость — 16 идей</x:v>
      </x:c>
      <x:c r="I1" s="23" t="str">
        <x:v>Фиолетовая редкость — 16 идей</x:v>
      </x:c>
    </x:row>
    <x:row r="2" ht="32" customHeight="1">
      <x:c r="A2" s="7" t="str">
        <x:v>Числа являются стартовыми гипотезами для прототипа. Фильтруйте по классу, одноразовости, ветке и приоритету.</x:v>
      </x:c>
      <x:c r="B2" s="7" t="str">
        <x:v>Числа являются стартовыми гипотезами для прототипа. Фильтруйте по классу, одноразовости, ветке и приоритету.</x:v>
      </x:c>
      <x:c r="C2" s="7" t="str">
        <x:v>Числа являются стартовыми гипотезами для прототипа. Фильтруйте по классу, одноразовости, ветке и приоритету.</x:v>
      </x:c>
      <x:c r="D2" s="7" t="str">
        <x:v>Числа являются стартовыми гипотезами для прототипа. Фильтруйте по классу, одноразовости, ветке и приоритету.</x:v>
      </x:c>
      <x:c r="E2" s="7" t="str">
        <x:v>Числа являются стартовыми гипотезами для прототипа. Фильтруйте по классу, одноразовости, ветке и приоритету.</x:v>
      </x:c>
      <x:c r="F2" s="7" t="str">
        <x:v>Числа являются стартовыми гипотезами для прототипа. Фильтруйте по классу, одноразовости, ветке и приоритету.</x:v>
      </x:c>
      <x:c r="G2" s="7" t="str">
        <x:v>Числа являются стартовыми гипотезами для прототипа. Фильтруйте по классу, одноразовости, ветке и приоритету.</x:v>
      </x:c>
      <x:c r="H2" s="7" t="str">
        <x:v>Числа являются стартовыми гипотезами для прототипа. Фильтруйте по классу, одноразовости, ветке и приоритету.</x:v>
      </x:c>
      <x:c r="I2" s="7" t="str">
        <x:v>Числа являются стартовыми гипотезами для прототипа. Фильтруйте по классу, одноразовости, ветке и приоритету.</x:v>
      </x:c>
    </x:row>
    <x:row r="4" ht="34" customHeight="1">
      <x:c r="A4" s="25" t="str">
        <x:v>№</x:v>
      </x:c>
      <x:c r="B4" s="25" t="str">
        <x:v>Название</x:v>
      </x:c>
      <x:c r="C4" s="25" t="str">
        <x:v>Класс</x:v>
      </x:c>
      <x:c r="D4" s="25" t="str">
        <x:v>Эффект / выгода</x:v>
      </x:c>
      <x:c r="E4" s="25" t="str">
        <x:v>Условия, ограничения или цена</x:v>
      </x:c>
      <x:c r="F4" s="25" t="str">
        <x:v>Одноразовая</x:v>
      </x:c>
      <x:c r="G4" s="25" t="str">
        <x:v>Ветка</x:v>
      </x:c>
      <x:c r="H4" s="25" t="str">
        <x:v>Первый прототип</x:v>
      </x:c>
      <x:c r="I4" s="25" t="str">
        <x:v>Статус</x:v>
      </x:c>
    </x:row>
    <x:row r="5" ht="68" customHeight="1">
      <x:c r="A5" s="14" t="n">
        <x:v>1</x:v>
      </x:c>
      <x:c r="B5" s="12" t="str">
        <x:v>Обвал статусов</x:v>
      </x:c>
      <x:c r="C5" s="12" t="str">
        <x:v>Все</x:v>
      </x:c>
      <x:c r="D5" s="12" t="str">
        <x:v>Прямой удар по цели одновременно с тремя разными негативными эффектами поглощает их и наносит 80% фактически прошедшего удара по площади.</x:v>
      </x:c>
      <x:c r="E5" s="12" t="str">
        <x:v>Одноразовая. Радиус 100; защита соседей применяется отдельно. На одной цели откат 2 сек.</x:v>
      </x:c>
      <x:c r="F5" s="15" t="str">
        <x:v>Да</x:v>
      </x:c>
      <x:c r="G5" s="15" t="str">
        <x:v>Нет</x:v>
      </x:c>
      <x:c r="H5" s="15" t="str">
        <x:v>Да</x:v>
      </x:c>
      <x:c r="I5" s="15" t="str">
        <x:v>К прототипу</x:v>
      </x:c>
    </x:row>
    <x:row r="6" ht="68" customHeight="1">
      <x:c r="A6" s="14" t="n">
        <x:v>2</x:v>
      </x:c>
      <x:c r="B6" s="12" t="str">
        <x:v>Кровавый процент</x:v>
      </x:c>
      <x:c r="C6" s="12" t="str">
        <x:v>Все</x:v>
      </x:c>
      <x:c r="D6" s="12" t="str">
        <x:v>Полученный урон заряжает следующую прямую атаку: +1% урона за каждый потерянный 1% max HP.</x:v>
      </x:c>
      <x:c r="E6" s="12" t="str">
        <x:v>Одноразовая. Максимум +60%; заряд тратится одним попаданием.</x:v>
      </x:c>
      <x:c r="F6" s="15" t="str">
        <x:v>Да</x:v>
      </x:c>
      <x:c r="G6" s="15" t="str">
        <x:v>Нет</x:v>
      </x:c>
      <x:c r="H6" s="15" t="str">
        <x:v>Нет</x:v>
      </x:c>
      <x:c r="I6" s="15" t="str">
        <x:v>Концепт</x:v>
      </x:c>
    </x:row>
    <x:row r="7" ht="68" customHeight="1">
      <x:c r="A7" s="14" t="n">
        <x:v>3</x:v>
      </x:c>
      <x:c r="B7" s="12" t="str">
        <x:v>Идеальный ритм</x:v>
      </x:c>
      <x:c r="C7" s="12" t="str">
        <x:v>Все</x:v>
      </x:c>
      <x:c r="D7" s="12" t="str">
        <x:v>Каждый седьмой прямой удар гарантированно критует.</x:v>
      </x:c>
      <x:c r="E7" s="12" t="str">
        <x:v>Одноразовая. Счётчик общий на героя; удары свиты ведут отдельный общий счётчик.</x:v>
      </x:c>
      <x:c r="F7" s="15" t="str">
        <x:v>Да</x:v>
      </x:c>
      <x:c r="G7" s="15" t="str">
        <x:v>Нет</x:v>
      </x:c>
      <x:c r="H7" s="15" t="str">
        <x:v>Нет</x:v>
      </x:c>
      <x:c r="I7" s="15" t="str">
        <x:v>Концепт</x:v>
      </x:c>
    </x:row>
    <x:row r="8" ht="68" customHeight="1">
      <x:c r="A8" s="14" t="n">
        <x:v>4</x:v>
      </x:c>
      <x:c r="B8" s="12" t="str">
        <x:v>Хищная регенерация</x:v>
      </x:c>
      <x:c r="C8" s="12" t="str">
        <x:v>Все</x:v>
      </x:c>
      <x:c r="D8" s="12" t="str">
        <x:v>Перелечение превращается в +1% урона на 2 сек за каждые 2% max HP лишнего лечения.</x:v>
      </x:c>
      <x:c r="E8" s="12" t="str">
        <x:v>Одноразовая. Потолок +30%; не работает с красным щитом Ужасающего вампира.</x:v>
      </x:c>
      <x:c r="F8" s="15" t="str">
        <x:v>Да</x:v>
      </x:c>
      <x:c r="G8" s="15" t="str">
        <x:v>Нет</x:v>
      </x:c>
      <x:c r="H8" s="15" t="str">
        <x:v>Нет</x:v>
      </x:c>
      <x:c r="I8" s="15" t="str">
        <x:v>Концепт</x:v>
      </x:c>
    </x:row>
    <x:row r="9" ht="68" customHeight="1">
      <x:c r="A9" s="14" t="n">
        <x:v>5</x:v>
      </x:c>
      <x:c r="B9" s="12" t="str">
        <x:v>Временной разлом</x:v>
      </x:c>
      <x:c r="C9" s="12" t="str">
        <x:v>Все</x:v>
      </x:c>
      <x:c r="D9" s="12" t="str">
        <x:v>Убийство элиты замедляет всех обычных врагов на 35% на 2 сек.</x:v>
      </x:c>
      <x:c r="E9" s="12" t="str">
        <x:v>Одноразовая. Боссы не замедляются; новые элитные убийства обновляют длительность.</x:v>
      </x:c>
      <x:c r="F9" s="15" t="str">
        <x:v>Да</x:v>
      </x:c>
      <x:c r="G9" s="15" t="str">
        <x:v>Нет</x:v>
      </x:c>
      <x:c r="H9" s="15" t="str">
        <x:v>Нет</x:v>
      </x:c>
      <x:c r="I9" s="15" t="str">
        <x:v>Концепт</x:v>
      </x:c>
    </x:row>
    <x:row r="10" ht="68" customHeight="1">
      <x:c r="A10" s="14" t="n">
        <x:v>6</x:v>
      </x:c>
      <x:c r="B10" s="12" t="str">
        <x:v>Последний свидетель</x:v>
      </x:c>
      <x:c r="C10" s="12" t="str">
        <x:v>Все</x:v>
      </x:c>
      <x:c r="D10" s="12" t="str">
        <x:v>Когда в радиусе 400 остаётся ровно один враг, герой наносит ему на 35% больше урона.</x:v>
      </x:c>
      <x:c r="E10" s="12" t="str">
        <x:v>Одноразовая. Не работает, если последний враг является призывом босса без награды.</x:v>
      </x:c>
      <x:c r="F10" s="15" t="str">
        <x:v>Да</x:v>
      </x:c>
      <x:c r="G10" s="15" t="str">
        <x:v>Нет</x:v>
      </x:c>
      <x:c r="H10" s="15" t="str">
        <x:v>Нет</x:v>
      </x:c>
      <x:c r="I10" s="15" t="str">
        <x:v>Концепт</x:v>
      </x:c>
    </x:row>
    <x:row r="11" ht="68" customHeight="1">
      <x:c r="A11" s="14" t="n">
        <x:v>7</x:v>
      </x:c>
      <x:c r="B11" s="12" t="str">
        <x:v>Землелом</x:v>
      </x:c>
      <x:c r="C11" s="12" t="str">
        <x:v>Воин</x:v>
      </x:c>
      <x:c r="D11" s="12" t="str">
        <x:v>Каждая третья круговая волна оставляет трещину на 2 сек, наносящую 12% удара каждые 0,5 сек.</x:v>
      </x:c>
      <x:c r="E11" s="12" t="str">
        <x:v>Одноразовая. Одна цель получает не больше четырёх тиков одной трещины.</x:v>
      </x:c>
      <x:c r="F11" s="15" t="str">
        <x:v>Да</x:v>
      </x:c>
      <x:c r="G11" s="15" t="str">
        <x:v>Нет</x:v>
      </x:c>
      <x:c r="H11" s="15" t="str">
        <x:v>Да</x:v>
      </x:c>
      <x:c r="I11" s="15" t="str">
        <x:v>К прототипу</x:v>
      </x:c>
    </x:row>
    <x:row r="12" ht="68" customHeight="1">
      <x:c r="A12" s="14" t="n">
        <x:v>8</x:v>
      </x:c>
      <x:c r="B12" s="12" t="str">
        <x:v>Кровавое лезвие</x:v>
      </x:c>
      <x:c r="C12" s="12" t="str">
        <x:v>Воин</x:v>
      </x:c>
      <x:c r="D12" s="12" t="str">
        <x:v>Каждый взмах тратит 1,5% текущего HP и получает +30% ближнего урона.</x:v>
      </x:c>
      <x:c r="E12" s="12" t="str">
        <x:v>Одноразовая. При HP ниже 10% плата и бонус отключаются; расход не запускает эффекты получения урона.</x:v>
      </x:c>
      <x:c r="F12" s="15" t="str">
        <x:v>Да</x:v>
      </x:c>
      <x:c r="G12" s="15" t="str">
        <x:v>Нет</x:v>
      </x:c>
      <x:c r="H12" s="15" t="str">
        <x:v>Нет</x:v>
      </x:c>
      <x:c r="I12" s="15" t="str">
        <x:v>Концепт</x:v>
      </x:c>
    </x:row>
    <x:row r="13" ht="68" customHeight="1">
      <x:c r="A13" s="14" t="n">
        <x:v>9</x:v>
      </x:c>
      <x:c r="B13" s="12" t="str">
        <x:v>Корона шипов</x:v>
      </x:c>
      <x:c r="C13" s="12" t="str">
        <x:v>Воин</x:v>
      </x:c>
      <x:c r="D13" s="12" t="str">
        <x:v>Шипы дополнительно наносят 20% текущей брони Воина.</x:v>
      </x:c>
      <x:c r="E13" s="12" t="str">
        <x:v>Ветка после 40 шипов. Одноразовая; отражение считается отдельно.</x:v>
      </x:c>
      <x:c r="F13" s="15" t="str">
        <x:v>Да</x:v>
      </x:c>
      <x:c r="G13" s="15" t="str">
        <x:v>Да</x:v>
      </x:c>
      <x:c r="H13" s="15" t="str">
        <x:v>Нет</x:v>
      </x:c>
      <x:c r="I13" s="15" t="str">
        <x:v>Концепт</x:v>
      </x:c>
    </x:row>
    <x:row r="14" ht="68" customHeight="1">
      <x:c r="A14" s="14" t="n">
        <x:v>10</x:v>
      </x:c>
      <x:c r="B14" s="12" t="str">
        <x:v>Зеркальный залп</x:v>
      </x:c>
      <x:c r="C14" s="12" t="str">
        <x:v>Лучник</x:v>
      </x:c>
      <x:c r="D14" s="12" t="str">
        <x:v>Каждый четвёртый залп повторяется через 0,2 сек призрачными стрелами с 45% урона.</x:v>
      </x:c>
      <x:c r="E14" s="12" t="str">
        <x:v>Одноразовая. Призрачные стрелы наследуют направление, но не создают новый зеркальный залп.</x:v>
      </x:c>
      <x:c r="F14" s="15" t="str">
        <x:v>Да</x:v>
      </x:c>
      <x:c r="G14" s="15" t="str">
        <x:v>Нет</x:v>
      </x:c>
      <x:c r="H14" s="15" t="str">
        <x:v>Нет</x:v>
      </x:c>
      <x:c r="I14" s="15" t="str">
        <x:v>Концепт</x:v>
      </x:c>
    </x:row>
    <x:row r="15" ht="68" customHeight="1">
      <x:c r="A15" s="14" t="n">
        <x:v>11</x:v>
      </x:c>
      <x:c r="B15" s="12" t="str">
        <x:v>Бесконечная тетива</x:v>
      </x:c>
      <x:c r="C15" s="12" t="str">
        <x:v>Лучник</x:v>
      </x:c>
      <x:c r="D15" s="12" t="str">
        <x:v>Стрела после последнего отскока может один раз вернуться на уже задетую цель с 40% урона.</x:v>
      </x:c>
      <x:c r="E15" s="12" t="str">
        <x:v>Ветка после 3 отскоков. Возврат не запускает новую цепь.</x:v>
      </x:c>
      <x:c r="F15" s="15" t="str">
        <x:v>Нет</x:v>
      </x:c>
      <x:c r="G15" s="15" t="str">
        <x:v>Да</x:v>
      </x:c>
      <x:c r="H15" s="15" t="str">
        <x:v>Нет</x:v>
      </x:c>
      <x:c r="I15" s="15" t="str">
        <x:v>Концепт</x:v>
      </x:c>
    </x:row>
    <x:row r="16" ht="68" customHeight="1">
      <x:c r="A16" s="14" t="n">
        <x:v>12</x:v>
      </x:c>
      <x:c r="B16" s="12" t="str">
        <x:v>Приговор охотника</x:v>
      </x:c>
      <x:c r="C16" s="12" t="str">
        <x:v>Лучник</x:v>
      </x:c>
      <x:c r="D16" s="12" t="str">
        <x:v>Попадания в отмеченную «Меткой добычи» цель накапливают по +4% урона до её смерти.</x:v>
      </x:c>
      <x:c r="E16" s="12" t="str">
        <x:v>Ветка после «Метки добычи». Максимум +40%; новая метка начинает накопление заново.</x:v>
      </x:c>
      <x:c r="F16" s="15" t="str">
        <x:v>Нет</x:v>
      </x:c>
      <x:c r="G16" s="15" t="str">
        <x:v>Да</x:v>
      </x:c>
      <x:c r="H16" s="15" t="str">
        <x:v>Нет</x:v>
      </x:c>
      <x:c r="I16" s="15" t="str">
        <x:v>Концепт</x:v>
      </x:c>
    </x:row>
    <x:row r="17" ht="68" customHeight="1">
      <x:c r="A17" s="14" t="n">
        <x:v>13</x:v>
      </x:c>
      <x:c r="B17" s="12" t="str">
        <x:v>Нестабильное ядро</x:v>
      </x:c>
      <x:c r="C17" s="12" t="str">
        <x:v>Маг</x:v>
      </x:c>
      <x:c r="D17" s="12" t="str">
        <x:v>Прямой урон сферы уменьшается на 40%, но её взрыв наносит на 75% больше урона.</x:v>
      </x:c>
      <x:c r="E17" s="12" t="str">
        <x:v>Одноразовая. Мини-сферы получают те же пропорции.</x:v>
      </x:c>
      <x:c r="F17" s="15" t="str">
        <x:v>Да</x:v>
      </x:c>
      <x:c r="G17" s="15" t="str">
        <x:v>Нет</x:v>
      </x:c>
      <x:c r="H17" s="15" t="str">
        <x:v>Нет</x:v>
      </x:c>
      <x:c r="I17" s="15" t="str">
        <x:v>Концепт</x:v>
      </x:c>
    </x:row>
    <x:row r="18" ht="68" customHeight="1">
      <x:c r="A18" s="14" t="n">
        <x:v>14</x:v>
      </x:c>
      <x:c r="B18" s="12" t="str">
        <x:v>Схлопывание</x:v>
      </x:c>
      <x:c r="C18" s="12" t="str">
        <x:v>Маг</x:v>
      </x:c>
      <x:c r="D18" s="12" t="str">
        <x:v>Через 0,4 сек после взрыва его край стягивается к центру и наносит 35% фактически прошедшего урона выжившим целям.</x:v>
      </x:c>
      <x:c r="E18" s="12" t="str">
        <x:v>Одноразовая. Вторая волна применяет защиту и не срабатывает повторно.</x:v>
      </x:c>
      <x:c r="F18" s="15" t="str">
        <x:v>Да</x:v>
      </x:c>
      <x:c r="G18" s="15" t="str">
        <x:v>Нет</x:v>
      </x:c>
      <x:c r="H18" s="15" t="str">
        <x:v>Нет</x:v>
      </x:c>
      <x:c r="I18" s="15" t="str">
        <x:v>Концепт</x:v>
      </x:c>
    </x:row>
    <x:row r="19" ht="68" customHeight="1">
      <x:c r="A19" s="14" t="n">
        <x:v>15</x:v>
      </x:c>
      <x:c r="B19" s="12" t="str">
        <x:v>Костяной чемпион</x:v>
      </x:c>
      <x:c r="C19" s="12" t="str">
        <x:v>Некромант</x:v>
      </x:c>
      <x:c r="D19" s="12" t="str">
        <x:v>Каждое десятое убийство свиты навсегда для текущего забега повышает ранг случайного живого приспешника.</x:v>
      </x:c>
      <x:c r="E19" s="12" t="str">
        <x:v>Одноразовая. Не выше максимального ранга; после смерти усиление теряется.</x:v>
      </x:c>
      <x:c r="F19" s="15" t="str">
        <x:v>Да</x:v>
      </x:c>
      <x:c r="G19" s="15" t="str">
        <x:v>Нет</x:v>
      </x:c>
      <x:c r="H19" s="15" t="str">
        <x:v>Нет</x:v>
      </x:c>
      <x:c r="I19" s="15" t="str">
        <x:v>Концепт</x:v>
      </x:c>
    </x:row>
    <x:row r="20" ht="68" customHeight="1">
      <x:c r="A20" s="14" t="n">
        <x:v>16</x:v>
      </x:c>
      <x:c r="B20" s="12" t="str">
        <x:v>Единая цель</x:v>
      </x:c>
      <x:c r="C20" s="12" t="str">
        <x:v>Некромант</x:v>
      </x:c>
      <x:c r="D20" s="12" t="str">
        <x:v>Пока не меньше пяти бойцов атакуют одну цель, они наносят ей +35% урона.</x:v>
      </x:c>
      <x:c r="E20" s="12" t="str">
        <x:v>Одноразовая. Проверяется по реальным текущим целям, не по расстоянию до врага.</x:v>
      </x:c>
      <x:c r="F20" s="15" t="str">
        <x:v>Да</x:v>
      </x:c>
      <x:c r="G20" s="15" t="str">
        <x:v>Нет</x:v>
      </x:c>
      <x:c r="H20" s="15" t="str">
        <x:v>Нет</x:v>
      </x:c>
      <x:c r="I20" s="15" t="str">
        <x:v>Концепт</x:v>
      </x:c>
    </x:row>
  </x:sheetData>
  <x:mergeCells>
    <x:mergeCell ref="A1:I1"/>
    <x:mergeCell ref="A2:I2"/>
  </x:mergeCells>
  <x:conditionalFormatting sqref="H5:H20">
    <x:cfRule type="containsText" dxfId="4" priority="1" operator="containsText" text="Да"/>
  </x:conditionalFormatting>
  <x:conditionalFormatting sqref="I5:I20">
    <x:cfRule type="containsText" dxfId="5" priority="2" operator="containsText" text="К прототипу"/>
  </x:conditionalFormatting>
  <x:dataValidations count="1">
    <x:dataValidation type="list" sqref="I5:I20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b7caf9d9be45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22" hidden="0" customWidth="1"/>
    <x:col min="4" max="4" width="56" hidden="0" customWidth="1"/>
    <x:col min="5" max="5" width="58" hidden="0" customWidth="1"/>
    <x:col min="6" max="6" width="13" hidden="0" customWidth="1"/>
    <x:col min="7" max="7" width="10" hidden="0" customWidth="1"/>
    <x:col min="8" max="8" width="17" hidden="0" customWidth="1"/>
    <x:col min="9" max="9" width="16" hidden="0" customWidth="1"/>
  </x:cols>
  <x:sheetData>
    <x:row r="1" ht="30" customHeight="1">
      <x:c r="A1" s="28" t="str">
        <x:v>Оранжевая редкость — 12 идей</x:v>
      </x:c>
      <x:c r="B1" s="28" t="str">
        <x:v>Оранжевая редкость — 12 идей</x:v>
      </x:c>
      <x:c r="C1" s="28" t="str">
        <x:v>Оранжевая редкость — 12 идей</x:v>
      </x:c>
      <x:c r="D1" s="28" t="str">
        <x:v>Оранжевая редкость — 12 идей</x:v>
      </x:c>
      <x:c r="E1" s="28" t="str">
        <x:v>Оранжевая редкость — 12 идей</x:v>
      </x:c>
      <x:c r="F1" s="28" t="str">
        <x:v>Оранжевая редкость — 12 идей</x:v>
      </x:c>
      <x:c r="G1" s="28" t="str">
        <x:v>Оранжевая редкость — 12 идей</x:v>
      </x:c>
      <x:c r="H1" s="28" t="str">
        <x:v>Оранжевая редкость — 12 идей</x:v>
      </x:c>
      <x:c r="I1" s="28" t="str">
        <x:v>Оранжевая редкость — 12 идей</x:v>
      </x:c>
    </x:row>
    <x:row r="2" ht="32" customHeight="1">
      <x:c r="A2" s="7" t="str">
        <x:v>Числа являются стартовыми гипотезами для прототипа. Фильтруйте по классу, одноразовости, ветке и приоритету.</x:v>
      </x:c>
      <x:c r="B2" s="7" t="str">
        <x:v>Числа являются стартовыми гипотезами для прототипа. Фильтруйте по классу, одноразовости, ветке и приоритету.</x:v>
      </x:c>
      <x:c r="C2" s="7" t="str">
        <x:v>Числа являются стартовыми гипотезами для прототипа. Фильтруйте по классу, одноразовости, ветке и приоритету.</x:v>
      </x:c>
      <x:c r="D2" s="7" t="str">
        <x:v>Числа являются стартовыми гипотезами для прототипа. Фильтруйте по классу, одноразовости, ветке и приоритету.</x:v>
      </x:c>
      <x:c r="E2" s="7" t="str">
        <x:v>Числа являются стартовыми гипотезами для прототипа. Фильтруйте по классу, одноразовости, ветке и приоритету.</x:v>
      </x:c>
      <x:c r="F2" s="7" t="str">
        <x:v>Числа являются стартовыми гипотезами для прототипа. Фильтруйте по классу, одноразовости, ветке и приоритету.</x:v>
      </x:c>
      <x:c r="G2" s="7" t="str">
        <x:v>Числа являются стартовыми гипотезами для прототипа. Фильтруйте по классу, одноразовости, ветке и приоритету.</x:v>
      </x:c>
      <x:c r="H2" s="7" t="str">
        <x:v>Числа являются стартовыми гипотезами для прототипа. Фильтруйте по классу, одноразовости, ветке и приоритету.</x:v>
      </x:c>
      <x:c r="I2" s="7" t="str">
        <x:v>Числа являются стартовыми гипотезами для прототипа. Фильтруйте по классу, одноразовости, ветке и приоритету.</x:v>
      </x:c>
    </x:row>
    <x:row r="4" ht="34" customHeight="1">
      <x:c r="A4" s="30" t="str">
        <x:v>№</x:v>
      </x:c>
      <x:c r="B4" s="30" t="str">
        <x:v>Название</x:v>
      </x:c>
      <x:c r="C4" s="30" t="str">
        <x:v>Класс</x:v>
      </x:c>
      <x:c r="D4" s="30" t="str">
        <x:v>Эффект / выгода</x:v>
      </x:c>
      <x:c r="E4" s="30" t="str">
        <x:v>Условия, ограничения или цена</x:v>
      </x:c>
      <x:c r="F4" s="30" t="str">
        <x:v>Одноразовая</x:v>
      </x:c>
      <x:c r="G4" s="30" t="str">
        <x:v>Ветка</x:v>
      </x:c>
      <x:c r="H4" s="30" t="str">
        <x:v>Первый прототип</x:v>
      </x:c>
      <x:c r="I4" s="30" t="str">
        <x:v>Статус</x:v>
      </x:c>
    </x:row>
    <x:row r="5" ht="68" customHeight="1">
      <x:c r="A5" s="14" t="n">
        <x:v>1</x:v>
      </x:c>
      <x:c r="B5" s="12" t="str">
        <x:v>Единственная стихия</x:v>
      </x:c>
      <x:c r="C5" s="12" t="str">
        <x:v>Все</x:v>
      </x:c>
      <x:c r="D5" s="12" t="str">
        <x:v>Самая сильная плоская стихия удваивается, её шанс эффекта получает +15 п.п.</x:v>
      </x:c>
      <x:c r="E5" s="12" t="str">
        <x:v>Урон и шансы остальных трёх стихий становятся нулевыми. Выбор ведущей стихии пересчитывается при изменении билда.</x:v>
      </x:c>
      <x:c r="F5" s="15" t="str">
        <x:v>Нет</x:v>
      </x:c>
      <x:c r="G5" s="15" t="str">
        <x:v>Нет</x:v>
      </x:c>
      <x:c r="H5" s="15" t="str">
        <x:v>Нет</x:v>
      </x:c>
      <x:c r="I5" s="15" t="str">
        <x:v>Концепт</x:v>
      </x:c>
    </x:row>
    <x:row r="6" ht="68" customHeight="1">
      <x:c r="A6" s="14" t="n">
        <x:v>2</x:v>
      </x:c>
      <x:c r="B6" s="12" t="str">
        <x:v>Долг времени</x:v>
      </x:c>
      <x:c r="C6" s="12" t="str">
        <x:v>Все</x:v>
      </x:c>
      <x:c r="D6" s="12" t="str">
        <x:v>Каждая непрерывная секунда боя даёт +8% скорости атаки, до +80%.</x:v>
      </x:c>
      <x:c r="E6" s="12" t="str">
        <x:v>После 3 сек без нанесённого урона весь бонус исчезает, а рывок уходит в откат на 2 сек.</x:v>
      </x:c>
      <x:c r="F6" s="15" t="str">
        <x:v>Нет</x:v>
      </x:c>
      <x:c r="G6" s="15" t="str">
        <x:v>Нет</x:v>
      </x:c>
      <x:c r="H6" s="15" t="str">
        <x:v>Нет</x:v>
      </x:c>
      <x:c r="I6" s="15" t="str">
        <x:v>Концепт</x:v>
      </x:c>
    </x:row>
    <x:row r="7" ht="68" customHeight="1">
      <x:c r="A7" s="14" t="n">
        <x:v>3</x:v>
      </x:c>
      <x:c r="B7" s="12" t="str">
        <x:v>Ни шагу назад</x:v>
      </x:c>
      <x:c r="C7" s="12" t="str">
        <x:v>Все</x:v>
      </x:c>
      <x:c r="D7" s="12" t="str">
        <x:v>+60% ко всему урону и +25% скорости бега.</x:v>
      </x:c>
      <x:c r="E7" s="12" t="str">
        <x:v>Рывок полностью отключается. Карточка не появляется, если без рывка невозможно закрыть активный обучающий этап.</x:v>
      </x:c>
      <x:c r="F7" s="15" t="str">
        <x:v>Нет</x:v>
      </x:c>
      <x:c r="G7" s="15" t="str">
        <x:v>Нет</x:v>
      </x:c>
      <x:c r="H7" s="15" t="str">
        <x:v>Нет</x:v>
      </x:c>
      <x:c r="I7" s="15" t="str">
        <x:v>Концепт</x:v>
      </x:c>
    </x:row>
    <x:row r="8" ht="68" customHeight="1">
      <x:c r="A8" s="14" t="n">
        <x:v>4</x:v>
      </x:c>
      <x:c r="B8" s="12" t="str">
        <x:v>Жизнь взаймы</x:v>
      </x:c>
      <x:c r="C8" s="12" t="str">
        <x:v>Все</x:v>
      </x:c>
      <x:c r="D8" s="12" t="str">
        <x:v>Получение смертельного урона оставляет 1 HP и на 5 сек даёт +100% урона.</x:v>
      </x:c>
      <x:c r="E8" s="12" t="str">
        <x:v>После пяти секунд герой гарантированно умирает, если не убил босса или элиту; одно срабатывание за забег. Не сочетается с «Обманом смерти».</x:v>
      </x:c>
      <x:c r="F8" s="15" t="str">
        <x:v>Нет</x:v>
      </x:c>
      <x:c r="G8" s="15" t="str">
        <x:v>Нет</x:v>
      </x:c>
      <x:c r="H8" s="15" t="str">
        <x:v>Нет</x:v>
      </x:c>
      <x:c r="I8" s="15" t="str">
        <x:v>Концепт</x:v>
      </x:c>
    </x:row>
    <x:row r="9" ht="68" customHeight="1">
      <x:c r="A9" s="14" t="n">
        <x:v>5</x:v>
      </x:c>
      <x:c r="B9" s="12" t="str">
        <x:v>Живая крепость</x:v>
      </x:c>
      <x:c r="C9" s="12" t="str">
        <x:v>Воин</x:v>
      </x:c>
      <x:c r="D9" s="12" t="str">
        <x:v>Броня усиливается на 60%, шипы получают ×2, каждый третий взмах даёт барьер 3% max HP.</x:v>
      </x:c>
      <x:c r="E9" s="12" t="str">
        <x:v>−30% скорости передвижения и −20% скорости атаки. Уворот становится равен нулю.</x:v>
      </x:c>
      <x:c r="F9" s="15" t="str">
        <x:v>Нет</x:v>
      </x:c>
      <x:c r="G9" s="15" t="str">
        <x:v>Нет</x:v>
      </x:c>
      <x:c r="H9" s="15" t="str">
        <x:v>Нет</x:v>
      </x:c>
      <x:c r="I9" s="15" t="str">
        <x:v>Концепт</x:v>
      </x:c>
    </x:row>
    <x:row r="10" ht="68" customHeight="1">
      <x:c r="A10" s="14" t="n">
        <x:v>6</x:v>
      </x:c>
      <x:c r="B10" s="12" t="str">
        <x:v>Клинок без ножен</x:v>
      </x:c>
      <x:c r="C10" s="12" t="str">
        <x:v>Воин</x:v>
      </x:c>
      <x:c r="D10" s="12" t="str">
        <x:v>Дальность и дуга ближней атаки ×1,5, урон ближнего боя ×1,4.</x:v>
      </x:c>
      <x:c r="E10" s="12" t="str">
        <x:v>Вся броня из карточек и магазина становится равна нулю; панцирь от роя сохраняется.</x:v>
      </x:c>
      <x:c r="F10" s="15" t="str">
        <x:v>Нет</x:v>
      </x:c>
      <x:c r="G10" s="15" t="str">
        <x:v>Нет</x:v>
      </x:c>
      <x:c r="H10" s="15" t="str">
        <x:v>Нет</x:v>
      </x:c>
      <x:c r="I10" s="15" t="str">
        <x:v>Концепт</x:v>
      </x:c>
    </x:row>
    <x:row r="11" ht="68" customHeight="1">
      <x:c r="A11" s="14" t="n">
        <x:v>7</x:v>
      </x:c>
      <x:c r="B11" s="12" t="str">
        <x:v>Доктрина одной стрелы</x:v>
      </x:c>
      <x:c r="C11" s="12" t="str">
        <x:v>Лучник</x:v>
      </x:c>
      <x:c r="D11" s="12" t="str">
        <x:v>Единственная стрела получает ×2,4 урона, +3 пробития и не теряет урон на отскоках.</x:v>
      </x:c>
      <x:c r="E11" s="12" t="str">
        <x:v>Число снарядов всегда равно 1; «Дробовик» и раздвоение отключаются.</x:v>
      </x:c>
      <x:c r="F11" s="15" t="str">
        <x:v>Нет</x:v>
      </x:c>
      <x:c r="G11" s="15" t="str">
        <x:v>Нет</x:v>
      </x:c>
      <x:c r="H11" s="15" t="str">
        <x:v>Да</x:v>
      </x:c>
      <x:c r="I11" s="15" t="str">
        <x:v>К прототипу</x:v>
      </x:c>
    </x:row>
    <x:row r="12" ht="68" customHeight="1">
      <x:c r="A12" s="14" t="n">
        <x:v>8</x:v>
      </x:c>
      <x:c r="B12" s="12" t="str">
        <x:v>Призрачный стрелок</x:v>
      </x:c>
      <x:c r="C12" s="12" t="str">
        <x:v>Лучник</x:v>
      </x:c>
      <x:c r="D12" s="12" t="str">
        <x:v>Каждый залп повторяется через 0,25 сек с 55% урона.</x:v>
      </x:c>
      <x:c r="E12" s="12" t="str">
        <x:v>Обычная скорость атаки уменьшается на 35%; повтор не может повторить себя или запустить зеркальный залп.</x:v>
      </x:c>
      <x:c r="F12" s="15" t="str">
        <x:v>Нет</x:v>
      </x:c>
      <x:c r="G12" s="15" t="str">
        <x:v>Нет</x:v>
      </x:c>
      <x:c r="H12" s="15" t="str">
        <x:v>Нет</x:v>
      </x:c>
      <x:c r="I12" s="15" t="str">
        <x:v>Концепт</x:v>
      </x:c>
    </x:row>
    <x:row r="13" ht="68" customHeight="1">
      <x:c r="A13" s="14" t="n">
        <x:v>9</x:v>
      </x:c>
      <x:c r="B13" s="12" t="str">
        <x:v>Сверхновая</x:v>
      </x:c>
      <x:c r="C13" s="12" t="str">
        <x:v>Маг</x:v>
      </x:c>
      <x:c r="D13" s="12" t="str">
        <x:v>Взрыв сферы получает ×2 урона и ×1,6 радиуса.</x:v>
      </x:c>
      <x:c r="E13" s="12" t="str">
        <x:v>Прямое попадание сферы не наносит урон, скорость атаки уменьшается на 25%, мини-сферы Мультипликации получают только половину бонуса.</x:v>
      </x:c>
      <x:c r="F13" s="15" t="str">
        <x:v>Нет</x:v>
      </x:c>
      <x:c r="G13" s="15" t="str">
        <x:v>Нет</x:v>
      </x:c>
      <x:c r="H13" s="15" t="str">
        <x:v>Нет</x:v>
      </x:c>
      <x:c r="I13" s="15" t="str">
        <x:v>Концепт</x:v>
      </x:c>
    </x:row>
    <x:row r="14" ht="68" customHeight="1">
      <x:c r="A14" s="14" t="n">
        <x:v>10</x:v>
      </x:c>
      <x:c r="B14" s="12" t="str">
        <x:v>Каскад реальности</x:v>
      </x:c>
      <x:c r="C14" s="12" t="str">
        <x:v>Маг</x:v>
      </x:c>
      <x:c r="D14" s="12" t="str">
        <x:v>Каждый взрыв создаёт три последовательных кольца по 30% его фактически нанесённого урона.</x:v>
      </x:c>
      <x:c r="E14" s="12" t="str">
        <x:v>Радиус каждого следующего кольца меньше на 20%; исходный взрыв наносит −45% урона. Кольца не создают новые кольца.</x:v>
      </x:c>
      <x:c r="F14" s="15" t="str">
        <x:v>Нет</x:v>
      </x:c>
      <x:c r="G14" s="15" t="str">
        <x:v>Нет</x:v>
      </x:c>
      <x:c r="H14" s="15" t="str">
        <x:v>Нет</x:v>
      </x:c>
      <x:c r="I14" s="15" t="str">
        <x:v>Концепт</x:v>
      </x:c>
    </x:row>
    <x:row r="15" ht="68" customHeight="1">
      <x:c r="A15" s="14" t="n">
        <x:v>11</x:v>
      </x:c>
      <x:c r="B15" s="12" t="str">
        <x:v>Единственный чемпион</x:v>
      </x:c>
      <x:c r="C15" s="12" t="str">
        <x:v>Некромант</x:v>
      </x:c>
      <x:c r="D15" s="12" t="str">
        <x:v>Максимум свиты равен 1, но чемпион получает ×6 HP, ×4 урон, все ранги и способности доступных типов бойцов.</x:v>
      </x:c>
      <x:c r="E15" s="12" t="str">
        <x:v>После его смерти Некромант остаётся без свиты 5 сек; обычное быстрое воскрешение отключено.</x:v>
      </x:c>
      <x:c r="F15" s="15" t="str">
        <x:v>Нет</x:v>
      </x:c>
      <x:c r="G15" s="15" t="str">
        <x:v>Нет</x:v>
      </x:c>
      <x:c r="H15" s="15" t="str">
        <x:v>Нет</x:v>
      </x:c>
      <x:c r="I15" s="15" t="str">
        <x:v>Концепт</x:v>
      </x:c>
    </x:row>
    <x:row r="16" ht="68" customHeight="1">
      <x:c r="A16" s="14" t="n">
        <x:v>12</x:v>
      </x:c>
      <x:c r="B16" s="12" t="str">
        <x:v>Хор мёртвых</x:v>
      </x:c>
      <x:c r="C16" s="12" t="str">
        <x:v>Некромант</x:v>
      </x:c>
      <x:c r="D16" s="12" t="str">
        <x:v>Каждая пятая атака всей армии становится синхронной: все живые бойцы одновременно бьют свои цели с +50% урона.</x:v>
      </x:c>
      <x:c r="E16" s="12" t="str">
        <x:v>Обычная скорость атаки свиты уменьшается на 25%; синхронные удары не могут запустить новый хор.</x:v>
      </x:c>
      <x:c r="F16" s="15" t="str">
        <x:v>Нет</x:v>
      </x:c>
      <x:c r="G16" s="15" t="str">
        <x:v>Нет</x:v>
      </x:c>
      <x:c r="H16" s="15" t="str">
        <x:v>Нет</x:v>
      </x:c>
      <x:c r="I16" s="15" t="str">
        <x:v>Концепт</x:v>
      </x:c>
    </x:row>
  </x:sheetData>
  <x:mergeCells>
    <x:mergeCell ref="A1:I1"/>
    <x:mergeCell ref="A2:I2"/>
  </x:mergeCells>
  <x:conditionalFormatting sqref="H5:H16">
    <x:cfRule type="containsText" dxfId="6" priority="1" operator="containsText" text="Да"/>
  </x:conditionalFormatting>
  <x:conditionalFormatting sqref="I5:I16">
    <x:cfRule type="containsText" dxfId="7" priority="2" operator="containsText" text="К прототипу"/>
  </x:conditionalFormatting>
  <x:dataValidations count="1">
    <x:dataValidation type="list" sqref="I5:I16">
      <x:formula1>"Концепт,К прототипу,В работе,Отклонено"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4baa0d5ce41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0" customHeight="1">
      <x:c r="A1" s="33" t="str">
        <x:v>Правила отбора и проверки реализации</x:v>
      </x:c>
      <x:c r="B1" s="33" t="str">
        <x:v>Правила отбора и проверки реализации</x:v>
      </x:c>
      <x:c r="C1" s="33" t="str">
        <x:v>Правила отбора и проверки реализации</x:v>
      </x:c>
      <x:c r="D1" s="33" t="str">
        <x:v>Правила отбора и проверки реализации</x:v>
      </x:c>
      <x:c r="E1" s="33" t="str">
        <x:v>Правила отбора и проверки реализации</x:v>
      </x:c>
      <x:c r="F1" s="33" t="str">
        <x:v>Правила отбора и проверки реализации</x:v>
      </x:c>
    </x:row>
    <x:row r="2" ht="32" customHeight="1">
      <x:c r="A2" s="7" t="str">
        <x:v>Ограничения защищают текущий дизайн от возврата удалённых механик, рекурсивных эффектов и обхода защиты целей.</x:v>
      </x:c>
      <x:c r="B2" s="7" t="str">
        <x:v>Ограничения защищают текущий дизайн от возврата удалённых механик, рекурсивных эффектов и обхода защиты целей.</x:v>
      </x:c>
      <x:c r="C2" s="7" t="str">
        <x:v>Ограничения защищают текущий дизайн от возврата удалённых механик, рекурсивных эффектов и обхода защиты целей.</x:v>
      </x:c>
      <x:c r="D2" s="7" t="str">
        <x:v>Ограничения защищают текущий дизайн от возврата удалённых механик, рекурсивных эффектов и обхода защиты целей.</x:v>
      </x:c>
      <x:c r="E2" s="7" t="str">
        <x:v>Ограничения защищают текущий дизайн от возврата удалённых механик, рекурсивных эффектов и обхода защиты целей.</x:v>
      </x:c>
      <x:c r="F2" s="7" t="str">
        <x:v>Ограничения защищают текущий дизайн от возврата удалённых механик, рекурсивных эффектов и обхода защиты целей.</x:v>
      </x:c>
    </x:row>
    <x:row r="4" ht="26" customHeight="1">
      <x:c r="A4" s="59" t="str">
        <x:v>Не возвращать удалённые или лишние механики</x:v>
      </x:c>
      <x:c r="B4" s="59"/>
      <x:c r="C4" s="59"/>
      <x:c r="D4" s="59"/>
      <x:c r="E4" s="59"/>
      <x:c r="F4" s="59"/>
    </x:row>
    <x:row r="5" ht="36" customHeight="1">
      <x:c r="A5" s="63" t="n">
        <x:v>1</x:v>
      </x:c>
      <x:c r="B5" s="64" t="str">
        <x:v>общий Блок;</x:v>
      </x:c>
    </x:row>
    <x:row r="6" ht="36" customHeight="1">
      <x:c r="A6" s="65" t="n">
        <x:v>2</x:v>
      </x:c>
      <x:c r="B6" s="66" t="str">
        <x:v>общее процентное Снижение урона из магазина;</x:v>
      </x:c>
    </x:row>
    <x:row r="7" ht="36" customHeight="1">
      <x:c r="A7" s="65" t="n">
        <x:v>3</x:v>
      </x:c>
      <x:c r="B7" s="66" t="str">
        <x:v>Размер снарядов;</x:v>
      </x:c>
    </x:row>
    <x:row r="8" ht="36" customHeight="1">
      <x:c r="A8" s="65" t="n">
        <x:v>4</x:v>
      </x:c>
      <x:c r="B8" s="66" t="str">
        <x:v>Силу замедления;</x:v>
      </x:c>
    </x:row>
    <x:row r="9" ht="36" customHeight="1">
      <x:c r="A9" s="65" t="n">
        <x:v>5</x:v>
      </x:c>
      <x:c r="B9" s="66" t="str">
        <x:v>Радиус автоподбора как карточку;</x:v>
      </x:c>
    </x:row>
    <x:row r="10" ht="36" customHeight="1">
      <x:c r="A10" s="67" t="n">
        <x:v>6</x:v>
      </x:c>
      <x:c r="B10" s="68" t="str">
        <x:v>дополнительный снаряд Магу из обычного пула.</x:v>
      </x:c>
    </x:row>
    <x:row r="13" ht="26" customHeight="1">
      <x:c r="A13" s="70" t="str">
        <x:v>Обязательные проверки перед включением карточки</x:v>
      </x:c>
      <x:c r="B13" s="70"/>
      <x:c r="C13" s="70"/>
      <x:c r="D13" s="70"/>
      <x:c r="E13" s="70"/>
      <x:c r="F13" s="70"/>
    </x:row>
    <x:row r="14" ht="36" customHeight="1">
      <x:c r="A14" s="73" t="n">
        <x:v>1</x:v>
      </x:c>
      <x:c r="B14" s="64" t="str">
        <x:v>Карточка имеет русское и английское название, короткое описание и подробный tooltip.</x:v>
      </x:c>
    </x:row>
    <x:row r="15" ht="36" customHeight="1">
      <x:c r="A15" s="74" t="n">
        <x:v>2</x:v>
      </x:c>
      <x:c r="B15" s="66" t="str">
        <x:v>Классовое ограничение задаётся каноническим фильтром и отображается существующей иконкой.</x:v>
      </x:c>
    </x:row>
    <x:row r="16" ht="36" customHeight="1">
      <x:c r="A16" s="74" t="n">
        <x:v>3</x:v>
      </x:c>
      <x:c r="B16" s="66" t="str">
        <x:v>Одноразовая карточка не появляется повторно ни в обычной раздаче, ни в QA-панели.</x:v>
      </x:c>
    </x:row>
    <x:row r="17" ht="36" customHeight="1">
      <x:c r="A17" s="74" t="n">
        <x:v>4</x:v>
      </x:c>
      <x:c r="B17" s="66" t="str">
        <x:v>Взрыв применяет броню, панцирь, защиту пачки и особую защиту босса каждой цели.</x:v>
      </x:c>
    </x:row>
    <x:row r="18" ht="36" customHeight="1">
      <x:c r="A18" s="74" t="n">
        <x:v>5</x:v>
      </x:c>
      <x:c r="B18" s="66" t="str">
        <x:v>Добавочный удар не создаёт сам себя, если рекурсия прямо не является частью концепта.</x:v>
      </x:c>
    </x:row>
    <x:row r="19" ht="36" customHeight="1">
      <x:c r="A19" s="74" t="n">
        <x:v>6</x:v>
      </x:c>
      <x:c r="B19" s="66" t="str">
        <x:v>Один массовый взмах не создаёт неконтролируемое число перекрывающихся эффектов.</x:v>
      </x:c>
    </x:row>
    <x:row r="20" ht="36" customHeight="1">
      <x:c r="A20" s="74" t="n">
        <x:v>7</x:v>
      </x:c>
      <x:c r="B20" s="66" t="str">
        <x:v>Эффекты от фактического урона используют реально снятое HP, а не исходное число до защиты и переполнения.</x:v>
      </x:c>
    </x:row>
    <x:row r="21" ht="36" customHeight="1">
      <x:c r="A21" s="74" t="n">
        <x:v>8</x:v>
      </x:c>
      <x:c r="B21" s="66" t="str">
        <x:v>Условная карточка не попадает в пул до появления рабочего источника её механики.</x:v>
      </x:c>
    </x:row>
    <x:row r="22" ht="36" customHeight="1">
      <x:c r="A22" s="74" t="n">
        <x:v>9</x:v>
      </x:c>
      <x:c r="B22" s="66" t="str">
        <x:v>Потолок проверяется и в интерфейсе, и в recalc(), чтобы ручная выдача не обходила баланс.</x:v>
      </x:c>
    </x:row>
    <x:row r="23" ht="36" customHeight="1">
      <x:c r="A23" s="75" t="n">
        <x:v>10</x:v>
      </x:c>
      <x:c r="B23" s="68" t="str">
        <x:v>Новая карточка получает точечный unit-набор и проходит полный run-all.js.</x:v>
      </x:c>
    </x:row>
    <x:row r="26" ht="26" customHeight="1">
      <x:c r="A26" s="77" t="str">
        <x:v>Идеи, которые пока не стоит реализовывать</x:v>
      </x:c>
      <x:c r="B26" s="77"/>
      <x:c r="C26" s="77"/>
      <x:c r="D26" s="77"/>
      <x:c r="E26" s="77"/>
      <x:c r="F26" s="77"/>
    </x:row>
    <x:row r="27" ht="36" customHeight="1">
      <x:c r="A27" s="80" t="n">
        <x:v>1</x:v>
      </x:c>
      <x:c r="B27" s="64" t="str">
        <x:v>Полное замораживание экрана или глобальная остановка времени на каждом крите: слишком много контроля и визуальных пауз.</x:v>
      </x:c>
    </x:row>
    <x:row r="28" ht="36" customHeight="1">
      <x:c r="A28" s="81" t="n">
        <x:v>2</x:v>
      </x:c>
      <x:c r="B28" s="66" t="str">
        <x:v>Бесконечное деление снарядов или взрывов без жёсткой глубины рекурсии.</x:v>
      </x:c>
    </x:row>
    <x:row r="29" ht="36" customHeight="1">
      <x:c r="A29" s="81" t="n">
        <x:v>3</x:v>
      </x:c>
      <x:c r="B29" s="66" t="str">
        <x:v>Возвращение Блока под другим названием.</x:v>
      </x:c>
    </x:row>
    <x:row r="30" ht="36" customHeight="1">
      <x:c r="A30" s="81" t="n">
        <x:v>4</x:v>
      </x:c>
      <x:c r="B30" s="66" t="str">
        <x:v>Карточки, автоматически выбирающие или удаляющие другие карточки игрока.</x:v>
      </x:c>
    </x:row>
    <x:row r="31" ht="36" customHeight="1">
      <x:c r="A31" s="81" t="n">
        <x:v>5</x:v>
      </x:c>
      <x:c r="B31" s="66" t="str">
        <x:v>Эффекты с процентом от максимального HP босса без жёсткого отдельного потолка.</x:v>
      </x:c>
    </x:row>
    <x:row r="32" ht="36" customHeight="1">
      <x:c r="A32" s="81" t="n">
        <x:v>6</x:v>
      </x:c>
      <x:c r="B32" s="66" t="str">
        <x:v>Постоянные спутники и напольные эффекты без лимита экземпляров.</x:v>
      </x:c>
    </x:row>
    <x:row r="33" ht="36" customHeight="1">
      <x:c r="A33" s="82" t="n">
        <x:v>7</x:v>
      </x:c>
      <x:c r="B33" s="68" t="str">
        <x:v>Механики, требующие от игрока ручного прицеливания: текущий бой построен вокруг автоматической атаки и позиционирования.</x:v>
      </x:c>
    </x:row>
  </x:sheetData>
  <x:mergeCells>
    <x:mergeCell ref="A1:F1"/>
    <x:mergeCell ref="A2:F2"/>
    <x:mergeCell ref="A4:F4"/>
    <x:mergeCell ref="A13:F13"/>
    <x:mergeCell ref="A26:F26"/>
  </x:mergeCells>
  <x:pageMargins left="0.7" right="0.7" top="0.75" bottom="0.75" header="0.3" footer="0.3"/>
</x:worksheet>
</file>