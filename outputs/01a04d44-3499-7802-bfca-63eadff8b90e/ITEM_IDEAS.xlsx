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dcf394ddf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da300b742e8949d3"/>
    <x:sheet xmlns:r="http://schemas.openxmlformats.org/officeDocument/2006/relationships" name="Обычные" sheetId="2" r:id="Raf542ccaeaec4756"/>
    <x:sheet xmlns:r="http://schemas.openxmlformats.org/officeDocument/2006/relationships" name="Редкие" sheetId="3" r:id="R3e9f546a764e4d7c"/>
    <x:sheet xmlns:r="http://schemas.openxmlformats.org/officeDocument/2006/relationships" name="Эпические" sheetId="4" r:id="R357d43d9b5b74ad1"/>
    <x:sheet xmlns:r="http://schemas.openxmlformats.org/officeDocument/2006/relationships" name="Легендарные" sheetId="5" r:id="Refa79e7d4aa34998"/>
    <x:sheet xmlns:r="http://schemas.openxmlformats.org/officeDocument/2006/relationships" name="Правила и проверки" sheetId="6" r:id="Rdeec8505ad8e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4748B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  <x:font>
      <x:b/>
      <x:sz val="11"/>
      <x:color rgb="FF15803D"/>
      <x:name val="Carlito"/>
    </x:font>
    <x:font>
      <x:b/>
      <x:sz val="11"/>
      <x:color rgb="FF111827"/>
      <x:name val="Carlito"/>
    </x:font>
    <x:font>
      <x:b/>
      <x:sz val="11"/>
      <x:color rgb="FF334155"/>
      <x:name val="Carlito"/>
    </x:font>
    <x:font>
      <x:b/>
      <x:sz val="11"/>
      <x:color rgb="FF047857"/>
      <x:name val="Carlito"/>
    </x:font>
    <x:font>
      <x:b/>
      <x:sz val="11"/>
      <x:color rgb="FF7C3AE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475569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EA580C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59E0B"/>
      </x:patternFill>
    </x:fill>
    <x:fill>
      <x:patternFill patternType="solid">
        <x:fgColor rgb="FF334155"/>
      </x:patternFill>
    </x:fill>
    <x:fill>
      <x:patternFill patternType="solid">
        <x:fgColor rgb="FF047857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8" borderId="6" xfId="0" applyNumberFormat="1" applyFont="1" applyFill="1" applyBorder="1"/>
    <x:xf numFmtId="200" fontId="4" fillId="8" borderId="6" xfId="0" applyNumberFormat="1" applyFont="1" applyFill="1" applyBorder="1"/>
    <x:xf numFmtId="200" fontId="0" fillId="9" borderId="8" xfId="0" applyNumberFormat="1" applyFont="1" applyFill="1" applyBorder="1"/>
    <x:xf numFmtId="200" fontId="5" fillId="9" borderId="8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horizontal="center"/>
    </x:xf>
  </x:cellXfs>
  <x:cellStyles count="1">
    <x:cellStyle name="Normal" xfId="0"/>
  </x:cellStyles>
  <x:dxfs count="1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f2bec56734b4c" /><Relationship Type="http://schemas.openxmlformats.org/officeDocument/2006/relationships/theme" Target="/xl/theme/theme1.xml" Id="R26bb90ded83d4a28" /><Relationship Type="http://schemas.openxmlformats.org/officeDocument/2006/relationships/sharedStrings" Target="/xl/sharedStrings.xml" Id="R51ea5f33ce634c56" /><Relationship Type="http://schemas.openxmlformats.org/officeDocument/2006/relationships/worksheet" Target="/xl/worksheets/sheet1.xml" Id="Rda300b742e8949d3" /><Relationship Type="http://schemas.openxmlformats.org/officeDocument/2006/relationships/worksheet" Target="/xl/worksheets/sheet2.xml" Id="Raf542ccaeaec4756" /><Relationship Type="http://schemas.openxmlformats.org/officeDocument/2006/relationships/worksheet" Target="/xl/worksheets/sheet3.xml" Id="R3e9f546a764e4d7c" /><Relationship Type="http://schemas.openxmlformats.org/officeDocument/2006/relationships/worksheet" Target="/xl/worksheets/sheet4.xml" Id="R357d43d9b5b74ad1" /><Relationship Type="http://schemas.openxmlformats.org/officeDocument/2006/relationships/worksheet" Target="/xl/worksheets/sheet5.xml" Id="Refa79e7d4aa34998" /><Relationship Type="http://schemas.openxmlformats.org/officeDocument/2006/relationships/worksheet" Target="/xl/worksheets/sheet6.xml" Id="Rdeec8505ad8e4827" /></Relationships>
</file>

<file path=xl/tables/table1.xml><?xml version="1.0" encoding="utf-8"?>
<x:table xmlns:x="http://schemas.openxmlformats.org/spreadsheetml/2006/main" id="5" name="ItemPrototypeCandidates" displayName="ItemPrototypeCandidates" ref="A11:F23" headerRowCount="1" totalsRowCount="0" totalsRowShown="0">
  <x:autoFilter ref="A11:F23"/>
  <x:tableColumns count="6">
    <x:tableColumn id="1" name="Кандидат первого прототипа"/>
    <x:tableColumn id="2" name="Редкость"/>
    <x:tableColumn id="3" name="Слот"/>
    <x:tableColumn id="4" name="Класс"/>
    <x:tableColumn id="5" name="Архетип"/>
    <x:tableColumn id="6" name="Почему стоит начать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ОбычныеItemIdeas" displayName="ОбычныеItemIdeas" ref="A4:L20" headerRowCount="1" totalsRowCount="0" totalsRowShown="0">
  <x:autoFilter ref="A4:L20"/>
  <x:tableColumns count="12">
    <x:tableColumn id="1" name="№"/>
    <x:tableColumn id="2" name="Название"/>
    <x:tableColumn id="3" name="English name"/>
    <x:tableColumn id="4" name="Слот"/>
    <x:tableColumn id="5" name="Класс"/>
    <x:tableColumn id="6" name="Архетип"/>
    <x:tableColumn id="7" name="Предлагаемый эффект"/>
    <x:tableColumn id="8" name="Цена и ограничения"/>
    <x:tableColumn id="9" name="Условие входа в пул"/>
    <x:tableColumn id="10" name="Сложность"/>
    <x:tableColumn id="11" name="Первый прототип"/>
    <x:tableColumn id="12" name="Стату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РедкиеItemIdeas" displayName="РедкиеItemIdeas" ref="A4:L28" headerRowCount="1" totalsRowCount="0" totalsRowShown="0">
  <x:autoFilter ref="A4:L28"/>
  <x:tableColumns count="12">
    <x:tableColumn id="1" name="№"/>
    <x:tableColumn id="2" name="Название"/>
    <x:tableColumn id="3" name="English name"/>
    <x:tableColumn id="4" name="Слот"/>
    <x:tableColumn id="5" name="Класс"/>
    <x:tableColumn id="6" name="Архетип"/>
    <x:tableColumn id="7" name="Предлагаемый эффект"/>
    <x:tableColumn id="8" name="Цена и ограничения"/>
    <x:tableColumn id="9" name="Условие входа в пул"/>
    <x:tableColumn id="10" name="Сложность"/>
    <x:tableColumn id="11" name="Первый прототип"/>
    <x:tableColumn id="12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ЭпическиеItemIdeas" displayName="ЭпическиеItemIdeas" ref="A4:L24" headerRowCount="1" totalsRowCount="0" totalsRowShown="0">
  <x:autoFilter ref="A4:L24"/>
  <x:tableColumns count="12">
    <x:tableColumn id="1" name="№"/>
    <x:tableColumn id="2" name="Название"/>
    <x:tableColumn id="3" name="English name"/>
    <x:tableColumn id="4" name="Слот"/>
    <x:tableColumn id="5" name="Класс"/>
    <x:tableColumn id="6" name="Архетип"/>
    <x:tableColumn id="7" name="Предлагаемый эффект"/>
    <x:tableColumn id="8" name="Цена и ограничения"/>
    <x:tableColumn id="9" name="Условие входа в пул"/>
    <x:tableColumn id="10" name="Сложность"/>
    <x:tableColumn id="11" name="Первый прототип"/>
    <x:tableColumn id="12" name="Стату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ЛегендарныеItemIdeas" displayName="ЛегендарныеItemIdeas" ref="A4:L16" headerRowCount="1" totalsRowCount="0" totalsRowShown="0">
  <x:autoFilter ref="A4:L16"/>
  <x:tableColumns count="12">
    <x:tableColumn id="1" name="№"/>
    <x:tableColumn id="2" name="Название"/>
    <x:tableColumn id="3" name="English name"/>
    <x:tableColumn id="4" name="Слот"/>
    <x:tableColumn id="5" name="Класс"/>
    <x:tableColumn id="6" name="Архетип"/>
    <x:tableColumn id="7" name="Предлагаемый эффект"/>
    <x:tableColumn id="8" name="Цена и ограничения"/>
    <x:tableColumn id="9" name="Условие входа в пул"/>
    <x:tableColumn id="10" name="Сложность"/>
    <x:tableColumn id="11" name="Первый прототип"/>
    <x:tableColumn id="12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e3920459144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1bd3ae97ca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4eed440734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58f3af45d644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ec05998ed645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7" hidden="0" customWidth="1"/>
    <x:col min="4" max="4" width="22" hidden="0" customWidth="1"/>
    <x:col min="5" max="5" width="23" hidden="0" customWidth="1"/>
    <x:col min="6" max="6" width="70" hidden="0" customWidth="1"/>
    <x:col min="7" max="7" width="20" hidden="0" customWidth="1"/>
    <x:col min="8" max="8" width="14" hidden="0" customWidth="1"/>
    <x:col min="9" max="9" width="3" hidden="0" customWidth="1"/>
    <x:col min="10" max="10" width="28" hidden="0" customWidth="1"/>
    <x:col min="11" max="11" width="14" hidden="0" customWidth="1"/>
    <x:col min="12" max="12" width="36" hidden="0" customWidth="1"/>
  </x:cols>
  <x:sheetData>
    <x:row r="1" ht="30" customHeight="1">
      <x:c r="A1" s="34" t="str">
        <x:v>Каталог новых предметов PolyGrind</x:v>
      </x:c>
      <x:c r="B1" s="34" t="str">
        <x:v>Каталог новых предметов PolyGrind</x:v>
      </x:c>
      <x:c r="C1" s="34" t="str">
        <x:v>Каталог новых предметов PolyGrind</x:v>
      </x:c>
      <x:c r="D1" s="34" t="str">
        <x:v>Каталог новых предметов PolyGrind</x:v>
      </x:c>
      <x:c r="E1" s="34" t="str">
        <x:v>Каталог новых предметов PolyGrind</x:v>
      </x:c>
      <x:c r="F1" s="34" t="str">
        <x:v>Каталог новых предметов PolyGrind</x:v>
      </x:c>
      <x:c r="G1" s="34" t="str">
        <x:v>Каталог новых предметов PolyGrind</x:v>
      </x:c>
      <x:c r="H1" s="34" t="str">
        <x:v>Каталог новых предметов PolyGrind</x:v>
      </x:c>
      <x:c r="I1" s="34" t="str">
        <x:v>Каталог новых предметов PolyGrind</x:v>
      </x:c>
      <x:c r="J1" s="34" t="str">
        <x:v>Каталог новых предметов PolyGrind</x:v>
      </x:c>
      <x:c r="K1" s="34" t="str">
        <x:v>Каталог новых предметов PolyGrind</x:v>
      </x:c>
      <x:c r="L1" s="34" t="str">
        <x:v>Каталог новых предметов PolyGrind</x:v>
      </x:c>
    </x:row>
    <x:row r="2" ht="34" customHeight="1">
      <x:c r="A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B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C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D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E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F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G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H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I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J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K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  <x:c r="L2" s="7" t="str">
        <x:v>72 идеи, сверенные с текущими 54 предметами и системой из пяти слотов. Книга предназначена для отбора, обсуждения баланса и постановки прототипов.</x:v>
      </x:c>
    </x:row>
    <x:row r="4">
      <x:c r="A4" s="33" t="str">
        <x:v>Редкость</x:v>
      </x:c>
      <x:c r="B4" s="33" t="str">
        <x:v>Количество</x:v>
      </x:c>
      <x:c r="D4" s="33" t="str">
        <x:v>Слот</x:v>
      </x:c>
      <x:c r="E4" s="33" t="str">
        <x:v>Число идей</x:v>
      </x:c>
      <x:c r="G4" s="33" t="str">
        <x:v>Сложность</x:v>
      </x:c>
      <x:c r="H4" s="33" t="str">
        <x:v>Число идей</x:v>
      </x:c>
      <x:c r="J4" s="33" t="str">
        <x:v>Рабочий показатель</x:v>
      </x:c>
      <x:c r="K4" s="33" t="str">
        <x:v>Значение</x:v>
      </x:c>
      <x:c r="L4" s="33" t="str">
        <x:v>Назначение</x:v>
      </x:c>
    </x:row>
    <x:row r="5">
      <x:c r="A5" s="35" t="str">
        <x:v>Обычные</x:v>
      </x:c>
      <x:c r="B5" s="44" t="n">
        <x:f>COUNTA('Обычные'!$A$5:$A$20)</x:f>
        <x:v>16</x:v>
      </x:c>
      <x:c r="D5" s="35" t="str">
        <x:v>Амулет</x:v>
      </x:c>
      <x:c r="E5" s="44" t="n">
        <x:f>COUNTIF('Обычные'!$D$5:$D$20,"Амулет")+COUNTIF('Редкие'!$D$5:$D$28,"Амулет")+COUNTIF('Эпические'!$D$5:$D$24,"Амулет")+COUNTIF('Легендарные'!$D$5:$D$16,"Амулет")</x:f>
        <x:v>15</x:v>
      </x:c>
      <x:c r="G5" s="35" t="str">
        <x:v>Низкая</x:v>
      </x:c>
      <x:c r="H5" s="44" t="n">
        <x:f>COUNTIF('Обычные'!$J$5:$J$20,"Низкая")+COUNTIF('Редкие'!$J$5:$J$28,"Низкая")+COUNTIF('Эпические'!$J$5:$J$24,"Низкая")+COUNTIF('Легендарные'!$J$5:$J$16,"Низкая")</x:f>
        <x:v>24</x:v>
      </x:c>
      <x:c r="J5" s="35" t="str">
        <x:v>Текущих предметов в игре</x:v>
      </x:c>
      <x:c r="K5" s="47" t="n">
        <x:v>54</x:v>
      </x:c>
      <x:c r="L5" s="36" t="str">
        <x:v>Фактический AMULETS после коллизий id</x:v>
      </x:c>
    </x:row>
    <x:row r="6">
      <x:c r="A6" s="37" t="str">
        <x:v>Редкие</x:v>
      </x:c>
      <x:c r="B6" s="45" t="n">
        <x:f>COUNTA('Редкие'!$A$5:$A$28)</x:f>
        <x:v>24</x:v>
      </x:c>
      <x:c r="D6" s="37" t="str">
        <x:v>Перчатки</x:v>
      </x:c>
      <x:c r="E6" s="45" t="n">
        <x:f>COUNTIF('Обычные'!$D$5:$D$20,"Перчатки")+COUNTIF('Редкие'!$D$5:$D$28,"Перчатки")+COUNTIF('Эпические'!$D$5:$D$24,"Перчатки")+COUNTIF('Легендарные'!$D$5:$D$16,"Перчатки")</x:f>
        <x:v>15</x:v>
      </x:c>
      <x:c r="G6" s="37" t="str">
        <x:v>Средняя</x:v>
      </x:c>
      <x:c r="H6" s="45" t="n">
        <x:f>COUNTIF('Обычные'!$J$5:$J$20,"Средняя")+COUNTIF('Редкие'!$J$5:$J$28,"Средняя")+COUNTIF('Эпические'!$J$5:$J$24,"Средняя")+COUNTIF('Легендарные'!$J$5:$J$16,"Средняя")</x:f>
        <x:v>33</x:v>
      </x:c>
      <x:c r="J6" s="37" t="str">
        <x:v>Новых идей</x:v>
      </x:c>
      <x:c r="K6" s="48" t="n">
        <x:f>B9</x:f>
        <x:v>72</x:v>
      </x:c>
      <x:c r="L6" s="38" t="str">
        <x:v>Каталог на рассмотрение</x:v>
      </x:c>
    </x:row>
    <x:row r="7">
      <x:c r="A7" s="37" t="str">
        <x:v>Эпические</x:v>
      </x:c>
      <x:c r="B7" s="45" t="n">
        <x:f>COUNTA('Эпические'!$A$5:$A$24)</x:f>
        <x:v>20</x:v>
      </x:c>
      <x:c r="D7" s="37" t="str">
        <x:v>Ботинки</x:v>
      </x:c>
      <x:c r="E7" s="45" t="n">
        <x:f>COUNTIF('Обычные'!$D$5:$D$20,"Ботинки")+COUNTIF('Редкие'!$D$5:$D$28,"Ботинки")+COUNTIF('Эпические'!$D$5:$D$24,"Ботинки")+COUNTIF('Легендарные'!$D$5:$D$16,"Ботинки")</x:f>
        <x:v>15</x:v>
      </x:c>
      <x:c r="G7" s="39" t="str">
        <x:v>Высокая</x:v>
      </x:c>
      <x:c r="H7" s="46" t="n">
        <x:f>COUNTIF('Обычные'!$J$5:$J$20,"Высокая")+COUNTIF('Редкие'!$J$5:$J$28,"Высокая")+COUNTIF('Эпические'!$J$5:$J$24,"Высокая")+COUNTIF('Легендарные'!$J$5:$J$16,"Высокая")</x:f>
        <x:v>15</x:v>
      </x:c>
      <x:c r="J7" s="37" t="str">
        <x:v>Первый прототип</x:v>
      </x:c>
      <x:c r="K7" s="53" t="n">
        <x:f>COUNTIF('Обычные'!$K$5:$K$20,"Да")+COUNTIF('Редкие'!$K$5:$K$28,"Да")+COUNTIF('Эпические'!$K$5:$K$24,"Да")+COUNTIF('Легендарные'!$K$5:$K$16,"Да")</x:f>
        <x:v>12</x:v>
      </x:c>
      <x:c r="L7" s="38" t="str">
        <x:v>Низкий или контролируемый риск</x:v>
      </x:c>
    </x:row>
    <x:row r="8">
      <x:c r="A8" s="37" t="str">
        <x:v>Легендарные</x:v>
      </x:c>
      <x:c r="B8" s="45" t="n">
        <x:f>COUNTA('Легендарные'!$A$5:$A$16)</x:f>
        <x:v>12</x:v>
      </x:c>
      <x:c r="D8" s="37" t="str">
        <x:v>Кольцо</x:v>
      </x:c>
      <x:c r="E8" s="45" t="n">
        <x:f>COUNTIF('Обычные'!$D$5:$D$20,"Кольцо")+COUNTIF('Редкие'!$D$5:$D$28,"Кольцо")+COUNTIF('Эпические'!$D$5:$D$24,"Кольцо")+COUNTIF('Легендарные'!$D$5:$D$16,"Кольцо")</x:f>
        <x:v>14</x:v>
      </x:c>
      <x:c r="J8" s="39" t="str">
        <x:v>Остальной резерв</x:v>
      </x:c>
      <x:c r="K8" s="49" t="n">
        <x:f>K6-K7</x:f>
        <x:v>60</x:v>
      </x:c>
      <x:c r="L8" s="40" t="str">
        <x:v>Идеи будущих обновлений</x:v>
      </x:c>
    </x:row>
    <x:row r="9">
      <x:c r="A9" s="39" t="str">
        <x:v>Всего</x:v>
      </x:c>
      <x:c r="B9" s="51" t="n">
        <x:f>SUM(B5:B8)</x:f>
        <x:v>72</x:v>
      </x:c>
      <x:c r="D9" s="39" t="str">
        <x:v>Реликвия</x:v>
      </x:c>
      <x:c r="E9" s="46" t="n">
        <x:f>COUNTIF('Обычные'!$D$5:$D$20,"Реликвия")+COUNTIF('Редкие'!$D$5:$D$28,"Реликвия")+COUNTIF('Эпические'!$D$5:$D$24,"Реликвия")+COUNTIF('Легендарные'!$D$5:$D$16,"Реликвия")</x:f>
        <x:v>13</x:v>
      </x:c>
    </x:row>
    <x:row r="11">
      <x:c r="A11" s="56" t="str">
        <x:v>Кандидат первого прототипа</x:v>
      </x:c>
      <x:c r="B11" s="56" t="str">
        <x:v>Редкость</x:v>
      </x:c>
      <x:c r="C11" s="56" t="str">
        <x:v>Слот</x:v>
      </x:c>
      <x:c r="D11" s="56" t="str">
        <x:v>Класс</x:v>
      </x:c>
      <x:c r="E11" s="56" t="str">
        <x:v>Архетип</x:v>
      </x:c>
      <x:c r="F11" s="56" t="str">
        <x:v>Почему стоит начать</x:v>
      </x:c>
    </x:row>
    <x:row r="12" ht="48" customHeight="1">
      <x:c r="A12" s="58" t="str">
        <x:v>ШНУРОВАННЫЙ ОБЕРЕГ</x:v>
      </x:c>
      <x:c r="B12" s="58" t="str">
        <x:v>Обычная</x:v>
      </x:c>
      <x:c r="C12" s="58" t="str">
        <x:v>Амулет</x:v>
      </x:c>
      <x:c r="D12" s="58" t="str">
        <x:v>Все</x:v>
      </x:c>
      <x:c r="E12" s="58" t="str">
        <x:v>Мобильность</x:v>
      </x:c>
      <x:c r="F12" s="58" t="str">
        <x:v>Использует готовые события hurt и восстановления рывка, не добавляя новый тип урона.</x:v>
      </x:c>
    </x:row>
    <x:row r="13" ht="48" customHeight="1">
      <x:c r="A13" s="58" t="str">
        <x:v>ПЕРЧАТКИ СЧЁТА</x:v>
      </x:c>
      <x:c r="B13" s="58" t="str">
        <x:v>Обычная</x:v>
      </x:c>
      <x:c r="C13" s="58" t="str">
        <x:v>Перчатки</x:v>
      </x:c>
      <x:c r="D13" s="58" t="str">
        <x:v>Все</x:v>
      </x:c>
      <x:c r="E13" s="58" t="str">
        <x:v>Темп</x:v>
      </x:c>
      <x:c r="F13" s="58" t="str">
        <x:v>Простой счётчик попаданий и краткий бафф, хорошо покрывается детерминированным unit-тестом.</x:v>
      </x:c>
    </x:row>
    <x:row r="14" ht="48" customHeight="1">
      <x:c r="A14" s="58" t="str">
        <x:v>ПЕРЧАТКИ СКВОЗНЯКА</x:v>
      </x:c>
      <x:c r="B14" s="58" t="str">
        <x:v>Обычная</x:v>
      </x:c>
      <x:c r="C14" s="58" t="str">
        <x:v>Перчатки</x:v>
      </x:c>
      <x:c r="D14" s="58" t="str">
        <x:v>Лучник</x:v>
      </x:c>
      <x:c r="E14" s="58" t="str">
        <x:v>Компенсация промаха</x:v>
      </x:c>
      <x:c r="F14" s="58" t="str">
        <x:v>Даёт Лучнику полезную страховку от промаха без добавочного урона и сложной геометрии.</x:v>
      </x:c>
    </x:row>
    <x:row r="15" ht="48" customHeight="1">
      <x:c r="A15" s="58" t="str">
        <x:v>ШИПОВАННЫЕ ПОДОШВЫ</x:v>
      </x:c>
      <x:c r="B15" s="58" t="str">
        <x:v>Обычная</x:v>
      </x:c>
      <x:c r="C15" s="58" t="str">
        <x:v>Ботинки</x:v>
      </x:c>
      <x:c r="D15" s="58" t="str">
        <x:v>Все</x:v>
      </x:c>
      <x:c r="E15" s="58" t="str">
        <x:v>Стойка</x:v>
      </x:c>
      <x:c r="F15" s="58" t="str">
        <x:v>Переиспользует движение, броню и отбрасывание; эффект легко читается и не вводит Блок.</x:v>
      </x:c>
    </x:row>
    <x:row r="16" ht="48" customHeight="1">
      <x:c r="A16" s="58" t="str">
        <x:v>КОЛЬЦО ПЕРВОГО СЛЕДА</x:v>
      </x:c>
      <x:c r="B16" s="58" t="str">
        <x:v>Обычная</x:v>
      </x:c>
      <x:c r="C16" s="58" t="str">
        <x:v>Кольцо</x:v>
      </x:c>
      <x:c r="D16" s="58" t="str">
        <x:v>Все</x:v>
      </x:c>
      <x:c r="E16" s="58" t="str">
        <x:v>Открывающий удар</x:v>
      </x:c>
      <x:c r="F16" s="58" t="str">
        <x:v>Точечная проверка полного HP и флаг на враге; хорошо работает у всех четырёх классов.</x:v>
      </x:c>
    </x:row>
    <x:row r="17" ht="48" customHeight="1">
      <x:c r="A17" s="58" t="str">
        <x:v>ГЛАЗ КОМЕТЫ</x:v>
      </x:c>
      <x:c r="B17" s="58" t="str">
        <x:v>Редкая</x:v>
      </x:c>
      <x:c r="C17" s="58" t="str">
        <x:v>Амулет</x:v>
      </x:c>
      <x:c r="D17" s="58" t="str">
        <x:v>Маг</x:v>
      </x:c>
      <x:c r="E17" s="58" t="str">
        <x:v>Одиночная цель</x:v>
      </x:c>
      <x:c r="F17" s="58" t="str">
        <x:v>Нужен только надёжный подсчёт целей взрыва; предмет открывает Магу понятный билд против босса.</x:v>
      </x:c>
    </x:row>
    <x:row r="18" ht="48" customHeight="1">
      <x:c r="A18" s="58" t="str">
        <x:v>ПЕЧАТЬ СТАИ</x:v>
      </x:c>
      <x:c r="B18" s="58" t="str">
        <x:v>Редкая</x:v>
      </x:c>
      <x:c r="C18" s="58" t="str">
        <x:v>Амулет</x:v>
      </x:c>
      <x:c r="D18" s="58" t="str">
        <x:v>Некромант</x:v>
      </x:c>
      <x:c r="E18" s="58" t="str">
        <x:v>Состав свиты</x:v>
      </x:c>
      <x:c r="F18" s="58" t="str">
        <x:v>Использует уже известные типы свиты и поощряет разнообразие без новых сущностей на поле.</x:v>
      </x:c>
    </x:row>
    <x:row r="19" ht="48" customHeight="1">
      <x:c r="A19" s="58" t="str">
        <x:v>КУЗНЕЧНЫЕ РУКАВИЦЫ</x:v>
      </x:c>
      <x:c r="B19" s="58" t="str">
        <x:v>Редкая</x:v>
      </x:c>
      <x:c r="C19" s="58" t="str">
        <x:v>Перчатки</x:v>
      </x:c>
      <x:c r="D19" s="58" t="str">
        <x:v>Воин</x:v>
      </x:c>
      <x:c r="E19" s="58" t="str">
        <x:v>Столкновения</x:v>
      </x:c>
      <x:c r="F19" s="58" t="str">
        <x:v>Добавляет зрелищную геометрию Воина, но имеет жёсткие пределы рекурсии и простой источник урона.</x:v>
      </x:c>
    </x:row>
    <x:row r="20" ht="48" customHeight="1">
      <x:c r="A20" s="58" t="str">
        <x:v>КОЛЬЦО ВТОРОГО ДЫХАНИЯ</x:v>
      </x:c>
      <x:c r="B20" s="58" t="str">
        <x:v>Редкая</x:v>
      </x:c>
      <x:c r="C20" s="58" t="str">
        <x:v>Кольцо</x:v>
      </x:c>
      <x:c r="D20" s="58" t="str">
        <x:v>Все</x:v>
      </x:c>
      <x:c r="E20" s="58" t="str">
        <x:v>Рывок</x:v>
      </x:c>
      <x:c r="F20" s="58" t="str">
        <x:v>Использует существующие счётчик убийств и заряды рывка; полезность легко измеряется в тестовом забеге.</x:v>
      </x:c>
    </x:row>
    <x:row r="21" ht="48" customHeight="1">
      <x:c r="A21" s="58" t="str">
        <x:v>КОЛЬЦО ПРОВОДНИКА</x:v>
      </x:c>
      <x:c r="B21" s="58" t="str">
        <x:v>Редкая</x:v>
      </x:c>
      <x:c r="C21" s="58" t="str">
        <x:v>Кольцо</x:v>
      </x:c>
      <x:c r="D21" s="58" t="str">
        <x:v>Все</x:v>
      </x:c>
      <x:c r="E21" s="58" t="str">
        <x:v>Шок</x:v>
      </x:c>
      <x:c r="F21" s="58" t="str">
        <x:v>Расширяет готовую цепь шока одним параметром и имеет очевидный детерминированный тест на число целей.</x:v>
      </x:c>
    </x:row>
    <x:row r="22" ht="48" customHeight="1">
      <x:c r="A22" s="58" t="str">
        <x:v>ЧЕРЕПНОЙ МАЯК</x:v>
      </x:c>
      <x:c r="B22" s="58" t="str">
        <x:v>Эпическая</x:v>
      </x:c>
      <x:c r="C22" s="58" t="str">
        <x:v>Амулет</x:v>
      </x:c>
      <x:c r="D22" s="58" t="str">
        <x:v>Некромант</x:v>
      </x:c>
      <x:c r="E22" s="58" t="str">
        <x:v>Фокус свиты</x:v>
      </x:c>
      <x:c r="F22" s="58" t="str">
        <x:v>Фокус цели использует существующую систему выбора целей и решает проблему рассеивания урона свиты.</x:v>
      </x:c>
    </x:row>
    <x:row r="23" ht="48" customHeight="1">
      <x:c r="A23" s="58" t="str">
        <x:v>РУКИ ТИТАНА</x:v>
      </x:c>
      <x:c r="B23" s="58" t="str">
        <x:v>Легендарная</x:v>
      </x:c>
      <x:c r="C23" s="58" t="str">
        <x:v>Перчатки</x:v>
      </x:c>
      <x:c r="D23" s="58" t="str">
        <x:v>Воин</x:v>
      </x:c>
      <x:c r="E23" s="58" t="str">
        <x:v>Тяжёлые волны</x:v>
      </x:c>
      <x:c r="F23" s="58" t="str">
        <x:v>Сильный и сразу заметный архетип с ясной ценой; использует уже исправленный защищённый путь ударных волн.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43e3920459144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7" hidden="0" customWidth="1"/>
    <x:col min="4" max="4" width="14" hidden="0" customWidth="1"/>
    <x:col min="5" max="5" width="18" hidden="0" customWidth="1"/>
    <x:col min="6" max="6" width="20" hidden="0" customWidth="1"/>
    <x:col min="7" max="7" width="54" hidden="0" customWidth="1"/>
    <x:col min="8" max="8" width="54" hidden="0" customWidth="1"/>
    <x:col min="9" max="9" width="30" hidden="0" customWidth="1"/>
    <x:col min="10" max="10" width="13" hidden="0" customWidth="1"/>
    <x:col min="11" max="11" width="17" hidden="0" customWidth="1"/>
    <x:col min="12" max="12" width="16" hidden="0" customWidth="1"/>
  </x:cols>
  <x:sheetData>
    <x:row r="1" ht="30" customHeight="1">
      <x:c r="A1" s="3" t="str">
        <x:v>Обычная редкость — 16 новых предметов</x:v>
      </x:c>
      <x:c r="B1" s="3" t="str">
        <x:v>Обычная редкость — 16 новых предметов</x:v>
      </x:c>
      <x:c r="C1" s="3" t="str">
        <x:v>Обычная редкость — 16 новых предметов</x:v>
      </x:c>
      <x:c r="D1" s="3" t="str">
        <x:v>Обычная редкость — 16 новых предметов</x:v>
      </x:c>
      <x:c r="E1" s="3" t="str">
        <x:v>Обычная редкость — 16 новых предметов</x:v>
      </x:c>
      <x:c r="F1" s="3" t="str">
        <x:v>Обычная редкость — 16 новых предметов</x:v>
      </x:c>
      <x:c r="G1" s="3" t="str">
        <x:v>Обычная редкость — 16 новых предметов</x:v>
      </x:c>
      <x:c r="H1" s="3" t="str">
        <x:v>Обычная редкость — 16 новых предметов</x:v>
      </x:c>
      <x:c r="I1" s="3" t="str">
        <x:v>Обычная редкость — 16 новых предметов</x:v>
      </x:c>
      <x:c r="J1" s="3" t="str">
        <x:v>Обычная редкость — 16 новых предметов</x:v>
      </x:c>
      <x:c r="K1" s="3" t="str">
        <x:v>Обычная редкость — 16 новых предметов</x:v>
      </x:c>
      <x:c r="L1" s="3" t="str">
        <x:v>Обычная редкость — 16 новых предметов</x:v>
      </x:c>
    </x:row>
    <x:row r="2" ht="34" customHeight="1">
      <x:c r="A2" s="7" t="str">
        <x:v>Каждый предмет находится один раз за забег. Числа — стартовые гипотезы для прототипа, а не утверждённый баланс.</x:v>
      </x:c>
      <x:c r="B2" s="7" t="str">
        <x:v>Каждый предмет находится один раз за забег. Числа — стартовые гипотезы для прототипа, а не утверждённый баланс.</x:v>
      </x:c>
      <x:c r="C2" s="7" t="str">
        <x:v>Каждый предмет находится один раз за забег. Числа — стартовые гипотезы для прототипа, а не утверждённый баланс.</x:v>
      </x:c>
      <x:c r="D2" s="7" t="str">
        <x:v>Каждый предмет находится один раз за забег. Числа — стартовые гипотезы для прототипа, а не утверждённый баланс.</x:v>
      </x:c>
      <x:c r="E2" s="7" t="str">
        <x:v>Каждый предмет находится один раз за забег. Числа — стартовые гипотезы для прототипа, а не утверждённый баланс.</x:v>
      </x:c>
      <x:c r="F2" s="7" t="str">
        <x:v>Каждый предмет находится один раз за забег. Числа — стартовые гипотезы для прототипа, а не утверждённый баланс.</x:v>
      </x:c>
      <x:c r="G2" s="7" t="str">
        <x:v>Каждый предмет находится один раз за забег. Числа — стартовые гипотезы для прототипа, а не утверждённый баланс.</x:v>
      </x:c>
      <x:c r="H2" s="7" t="str">
        <x:v>Каждый предмет находится один раз за забег. Числа — стартовые гипотезы для прототипа, а не утверждённый баланс.</x:v>
      </x:c>
      <x:c r="I2" s="7" t="str">
        <x:v>Каждый предмет находится один раз за забег. Числа — стартовые гипотезы для прототипа, а не утверждённый баланс.</x:v>
      </x:c>
      <x:c r="J2" s="7" t="str">
        <x:v>Каждый предмет находится один раз за забег. Числа — стартовые гипотезы для прототипа, а не утверждённый баланс.</x:v>
      </x:c>
      <x:c r="K2" s="7" t="str">
        <x:v>Каждый предмет находится один раз за забег. Числа — стартовые гипотезы для прототипа, а не утверждённый баланс.</x:v>
      </x:c>
      <x:c r="L2" s="7" t="str">
        <x:v>Каждый предмет находится один раз за забег. Числа — стартовые гипотезы для прототипа, а не утверждённый баланс.</x:v>
      </x:c>
    </x:row>
    <x:row r="4" ht="38" customHeight="1">
      <x:c r="A4" s="9" t="str">
        <x:v>№</x:v>
      </x:c>
      <x:c r="B4" s="9" t="str">
        <x:v>Название</x:v>
      </x:c>
      <x:c r="C4" s="9" t="str">
        <x:v>English name</x:v>
      </x:c>
      <x:c r="D4" s="9" t="str">
        <x:v>Слот</x:v>
      </x:c>
      <x:c r="E4" s="9" t="str">
        <x:v>Класс</x:v>
      </x:c>
      <x:c r="F4" s="9" t="str">
        <x:v>Архетип</x:v>
      </x:c>
      <x:c r="G4" s="9" t="str">
        <x:v>Предлагаемый эффект</x:v>
      </x:c>
      <x:c r="H4" s="9" t="str">
        <x:v>Цена и ограничения</x:v>
      </x:c>
      <x:c r="I4" s="9" t="str">
        <x:v>Условие входа в пул</x:v>
      </x:c>
      <x:c r="J4" s="9" t="str">
        <x:v>Сложность</x:v>
      </x:c>
      <x:c r="K4" s="9" t="str">
        <x:v>Первый прототип</x:v>
      </x:c>
      <x:c r="L4" s="9" t="str">
        <x:v>Статус</x:v>
      </x:c>
    </x:row>
    <x:row r="5" ht="82" customHeight="1">
      <x:c r="A5" s="14" t="n">
        <x:v>1</x:v>
      </x:c>
      <x:c r="B5" s="12" t="str">
        <x:v>МЕДНЫЙ ХРОНОМЕТР</x:v>
      </x:c>
      <x:c r="C5" s="12" t="str">
        <x:v>COPPER CHRONOMETER</x:v>
      </x:c>
      <x:c r="D5" s="15" t="str">
        <x:v>Амулет</x:v>
      </x:c>
      <x:c r="E5" s="15" t="str">
        <x:v>Все</x:v>
      </x:c>
      <x:c r="F5" s="15" t="str">
        <x:v>Ритм атаки</x:v>
      </x:c>
      <x:c r="G5" s="12" t="str">
        <x:v>После 2 сек без обычной атаки следующая обычная атака наносит на 25% больше урона.</x:v>
      </x:c>
      <x:c r="H5" s="12" t="str">
        <x:v>Заряд тратится первым прямым попаданием. Не усиливает DoT, урон предметов и вторичные цепи.</x:v>
      </x:c>
      <x:c r="I5" s="12" t="str">
        <x:v>Без условия</x:v>
      </x:c>
      <x:c r="J5" s="16" t="str">
        <x:v>Низкая</x:v>
      </x:c>
      <x:c r="K5" s="16" t="str">
        <x:v>Нет</x:v>
      </x:c>
      <x:c r="L5" s="16" t="str">
        <x:v>Концепт</x:v>
      </x:c>
    </x:row>
    <x:row r="6" ht="82" customHeight="1">
      <x:c r="A6" s="14" t="n">
        <x:v>2</x:v>
      </x:c>
      <x:c r="B6" s="12" t="str">
        <x:v>ШНУРОВАННЫЙ ОБЕРЕГ</x:v>
      </x:c>
      <x:c r="C6" s="12" t="str">
        <x:v>KNOTTED CHARM</x:v>
      </x:c>
      <x:c r="D6" s="15" t="str">
        <x:v>Амулет</x:v>
      </x:c>
      <x:c r="E6" s="15" t="str">
        <x:v>Все</x:v>
      </x:c>
      <x:c r="F6" s="15" t="str">
        <x:v>Мобильность</x:v>
      </x:c>
      <x:c r="G6" s="12" t="str">
        <x:v>Фактически полученный урон восстанавливает 12% одного заряда рывка.</x:v>
      </x:c>
      <x:c r="H6" s="12" t="str">
        <x:v>Внутренний откат 1,5 сек. Не уменьшает сам удар и не создаёт заряд сверх максимума.</x:v>
      </x:c>
      <x:c r="I6" s="12" t="str">
        <x:v>Без условия</x:v>
      </x:c>
      <x:c r="J6" s="16" t="str">
        <x:v>Низкая</x:v>
      </x:c>
      <x:c r="K6" s="16" t="str">
        <x:v>Да</x:v>
      </x:c>
      <x:c r="L6" s="16" t="str">
        <x:v>К прототипу</x:v>
      </x:c>
    </x:row>
    <x:row r="7" ht="82" customHeight="1">
      <x:c r="A7" s="14" t="n">
        <x:v>3</x:v>
      </x:c>
      <x:c r="B7" s="12" t="str">
        <x:v>ОСКОЛОК ПРИЦЕЛА</x:v>
      </x:c>
      <x:c r="C7" s="12" t="str">
        <x:v>SIGHT SHARD</x:v>
      </x:c>
      <x:c r="D7" s="15" t="str">
        <x:v>Амулет</x:v>
      </x:c>
      <x:c r="E7" s="15" t="str">
        <x:v>Лучник</x:v>
      </x:c>
      <x:c r="F7" s="15" t="str">
        <x:v>Дальний бой</x:v>
      </x:c>
      <x:c r="G7" s="12" t="str">
        <x:v>Стрела, пролетевшая не меньше 300 единиц, помечает цель на 1,5 сек; следующая стрела по ней наносит +15% урона.</x:v>
      </x:c>
      <x:c r="H7" s="12" t="str">
        <x:v>Одновременно активна одна метка. Её не тратят рикошеты той же стрелы и предметный урон.</x:v>
      </x:c>
      <x:c r="I7" s="12" t="str">
        <x:v>Только Лучник</x:v>
      </x:c>
      <x:c r="J7" s="16" t="str">
        <x:v>Низкая</x:v>
      </x:c>
      <x:c r="K7" s="16" t="str">
        <x:v>Нет</x:v>
      </x:c>
      <x:c r="L7" s="16" t="str">
        <x:v>Концепт</x:v>
      </x:c>
    </x:row>
    <x:row r="8" ht="82" customHeight="1">
      <x:c r="A8" s="14" t="n">
        <x:v>4</x:v>
      </x:c>
      <x:c r="B8" s="12" t="str">
        <x:v>УЗЛОВАЯ КОСТЬ</x:v>
      </x:c>
      <x:c r="C8" s="12" t="str">
        <x:v>KNUCKLEBONE TOKEN</x:v>
      </x:c>
      <x:c r="D8" s="15" t="str">
        <x:v>Амулет</x:v>
      </x:c>
      <x:c r="E8" s="15" t="str">
        <x:v>Некромант</x:v>
      </x:c>
      <x:c r="F8" s="15" t="str">
        <x:v>Свита</x:v>
      </x:c>
      <x:c r="G8" s="12" t="str">
        <x:v>Естественная смерть приспешника приближает следующий готовый призыв на 0,7 сек.</x:v>
      </x:c>
      <x:c r="H8" s="12" t="str">
        <x:v>Не работает при принудительной жертве. Срабатывает не чаще раза в секунду.</x:v>
      </x:c>
      <x:c r="I8" s="12" t="str">
        <x:v>Только Некромант</x:v>
      </x:c>
      <x:c r="J8" s="16" t="str">
        <x:v>Низкая</x:v>
      </x:c>
      <x:c r="K8" s="16" t="str">
        <x:v>Нет</x:v>
      </x:c>
      <x:c r="L8" s="16" t="str">
        <x:v>Концепт</x:v>
      </x:c>
    </x:row>
    <x:row r="9" ht="82" customHeight="1">
      <x:c r="A9" s="14" t="n">
        <x:v>5</x:v>
      </x:c>
      <x:c r="B9" s="12" t="str">
        <x:v>ПЕРЧАТКИ СЧЁТА</x:v>
      </x:c>
      <x:c r="C9" s="12" t="str">
        <x:v>TALLY GLOVES</x:v>
      </x:c>
      <x:c r="D9" s="15" t="str">
        <x:v>Перчатки</x:v>
      </x:c>
      <x:c r="E9" s="15" t="str">
        <x:v>Все</x:v>
      </x:c>
      <x:c r="F9" s="15" t="str">
        <x:v>Темп</x:v>
      </x:c>
      <x:c r="G9" s="12" t="str">
        <x:v>Каждый двенадцатый прямой удар героя даёт +20% скорости атаки на 1,5 сек.</x:v>
      </x:c>
      <x:c r="H9" s="12" t="str">
        <x:v>Счётчик общий на героя; свита, DoT и удары предметов его не двигают. Новый эффект обновляет длительность.</x:v>
      </x:c>
      <x:c r="I9" s="12" t="str">
        <x:v>Без условия</x:v>
      </x:c>
      <x:c r="J9" s="16" t="str">
        <x:v>Низкая</x:v>
      </x:c>
      <x:c r="K9" s="16" t="str">
        <x:v>Да</x:v>
      </x:c>
      <x:c r="L9" s="16" t="str">
        <x:v>К прототипу</x:v>
      </x:c>
    </x:row>
    <x:row r="10" ht="82" customHeight="1">
      <x:c r="A10" s="14" t="n">
        <x:v>6</x:v>
      </x:c>
      <x:c r="B10" s="12" t="str">
        <x:v>КУЗНЕЧНЫЙ НАПАЛЬЧНИК</x:v>
      </x:c>
      <x:c r="C10" s="12" t="str">
        <x:v>SMITH'S THUMBSTALL</x:v>
      </x:c>
      <x:c r="D10" s="15" t="str">
        <x:v>Перчатки</x:v>
      </x:c>
      <x:c r="E10" s="15" t="str">
        <x:v>Воин</x:v>
      </x:c>
      <x:c r="F10" s="15" t="str">
        <x:v>Бронебойность</x:v>
      </x:c>
      <x:c r="G10" s="12" t="str">
        <x:v>Ближний удар игнорирует первые 8 единиц брони цели.</x:v>
      </x:c>
      <x:c r="H10" s="12" t="str">
        <x:v>Не уменьшает броню постоянно и не действует на ударные волны, шипы или предметный урон.</x:v>
      </x:c>
      <x:c r="I10" s="12" t="str">
        <x:v>Только Воин</x:v>
      </x:c>
      <x:c r="J10" s="16" t="str">
        <x:v>Низкая</x:v>
      </x:c>
      <x:c r="K10" s="16" t="str">
        <x:v>Нет</x:v>
      </x:c>
      <x:c r="L10" s="16" t="str">
        <x:v>Концепт</x:v>
      </x:c>
    </x:row>
    <x:row r="11" ht="82" customHeight="1">
      <x:c r="A11" s="14" t="n">
        <x:v>7</x:v>
      </x:c>
      <x:c r="B11" s="12" t="str">
        <x:v>ПЕРЧАТКИ СКВОЗНЯКА</x:v>
      </x:c>
      <x:c r="C11" s="12" t="str">
        <x:v>DRAFT GLOVES</x:v>
      </x:c>
      <x:c r="D11" s="15" t="str">
        <x:v>Перчатки</x:v>
      </x:c>
      <x:c r="E11" s="15" t="str">
        <x:v>Лучник</x:v>
      </x:c>
      <x:c r="F11" s="15" t="str">
        <x:v>Компенсация промаха</x:v>
      </x:c>
      <x:c r="G11" s="12" t="str">
        <x:v>Стрела, исчезнувшая без единого попадания, даёт следующей стреле +40% силы самонаведения и +20% скорости.</x:v>
      </x:c>
      <x:c r="H11" s="12" t="str">
        <x:v>Бонус тратится при запуске и не складывается. Возвратные и предметные стрелы его не заряжают.</x:v>
      </x:c>
      <x:c r="I11" s="12" t="str">
        <x:v>Только Лучник</x:v>
      </x:c>
      <x:c r="J11" s="16" t="str">
        <x:v>Низкая</x:v>
      </x:c>
      <x:c r="K11" s="16" t="str">
        <x:v>Да</x:v>
      </x:c>
      <x:c r="L11" s="16" t="str">
        <x:v>К прототипу</x:v>
      </x:c>
    </x:row>
    <x:row r="12" ht="82" customHeight="1">
      <x:c r="A12" s="14" t="n">
        <x:v>8</x:v>
      </x:c>
      <x:c r="B12" s="12" t="str">
        <x:v>МЕЛОВЫЕ ЛАДОНИ</x:v>
      </x:c>
      <x:c r="C12" s="12" t="str">
        <x:v>CHALK PALMS</x:v>
      </x:c>
      <x:c r="D12" s="15" t="str">
        <x:v>Перчатки</x:v>
      </x:c>
      <x:c r="E12" s="15" t="str">
        <x:v>Маг</x:v>
      </x:c>
      <x:c r="F12" s="15" t="str">
        <x:v>Компенсация промаха</x:v>
      </x:c>
      <x:c r="G12" s="12" t="str">
        <x:v>Сфера, взорвавшаяся и не задевшая ни одной цели, увеличивает радиус следующей сферы на 20%.</x:v>
      </x:c>
      <x:c r="H12" s="12" t="str">
        <x:v>Бонус не складывается. Мини-сферы Мультипликации его не заряжают и не расходуют.</x:v>
      </x:c>
      <x:c r="I12" s="12" t="str">
        <x:v>Только Маг</x:v>
      </x:c>
      <x:c r="J12" s="16" t="str">
        <x:v>Низкая</x:v>
      </x:c>
      <x:c r="K12" s="16" t="str">
        <x:v>Нет</x:v>
      </x:c>
      <x:c r="L12" s="16" t="str">
        <x:v>Концепт</x:v>
      </x:c>
    </x:row>
    <x:row r="13" ht="82" customHeight="1">
      <x:c r="A13" s="14" t="n">
        <x:v>9</x:v>
      </x:c>
      <x:c r="B13" s="12" t="str">
        <x:v>ШИПОВАННЫЕ ПОДОШВЫ</x:v>
      </x:c>
      <x:c r="C13" s="12" t="str">
        <x:v>HOBNAILED SOLES</x:v>
      </x:c>
      <x:c r="D13" s="15" t="str">
        <x:v>Ботинки</x:v>
      </x:c>
      <x:c r="E13" s="15" t="str">
        <x:v>Все</x:v>
      </x:c>
      <x:c r="F13" s="15" t="str">
        <x:v>Стойка</x:v>
      </x:c>
      <x:c r="G13" s="12" t="str">
        <x:v>После 0,8 сек без движения герой получает +20 брони и перестаёт смещаться от обычного отбрасывания.</x:v>
      </x:c>
      <x:c r="H13" s="12" t="str">
        <x:v>Любое движение или рывок немедленно снимает стойку. Урон не блокируется, боссы всё ещё могут вытеснять телеграфами.</x:v>
      </x:c>
      <x:c r="I13" s="12" t="str">
        <x:v>Без условия</x:v>
      </x:c>
      <x:c r="J13" s="16" t="str">
        <x:v>Низкая</x:v>
      </x:c>
      <x:c r="K13" s="16" t="str">
        <x:v>Да</x:v>
      </x:c>
      <x:c r="L13" s="16" t="str">
        <x:v>К прототипу</x:v>
      </x:c>
    </x:row>
    <x:row r="14" ht="82" customHeight="1">
      <x:c r="A14" s="14" t="n">
        <x:v>10</x:v>
      </x:c>
      <x:c r="B14" s="12" t="str">
        <x:v>САПОГИ КОРОТКОГО РАЗРЯДА</x:v>
      </x:c>
      <x:c r="C14" s="12" t="str">
        <x:v>SHORT-CIRCUIT BOOTS</x:v>
      </x:c>
      <x:c r="D14" s="15" t="str">
        <x:v>Ботинки</x:v>
      </x:c>
      <x:c r="E14" s="15" t="str">
        <x:v>Все</x:v>
      </x:c>
      <x:c r="F14" s="15" t="str">
        <x:v>Контроль</x:v>
      </x:c>
      <x:c r="G14" s="12" t="str">
        <x:v>Рывок сквозь врага замедляет его на 20% на 0,6 сек.</x:v>
      </x:c>
      <x:c r="H14" s="12" t="str">
        <x:v>Одна цель срабатывает один раз за рывок. На боссах сила замедления вдвое меньше; урона нет.</x:v>
      </x:c>
      <x:c r="I14" s="12" t="str">
        <x:v>Без условия</x:v>
      </x:c>
      <x:c r="J14" s="16" t="str">
        <x:v>Низкая</x:v>
      </x:c>
      <x:c r="K14" s="16" t="str">
        <x:v>Нет</x:v>
      </x:c>
      <x:c r="L14" s="16" t="str">
        <x:v>Концепт</x:v>
      </x:c>
    </x:row>
    <x:row r="15" ht="82" customHeight="1">
      <x:c r="A15" s="14" t="n">
        <x:v>11</x:v>
      </x:c>
      <x:c r="B15" s="12" t="str">
        <x:v>СЛЕДОПЫТЫ</x:v>
      </x:c>
      <x:c r="C15" s="12" t="str">
        <x:v>TRAILFINDERS</x:v>
      </x:c>
      <x:c r="D15" s="15" t="str">
        <x:v>Ботинки</x:v>
      </x:c>
      <x:c r="E15" s="15" t="str">
        <x:v>Все</x:v>
      </x:c>
      <x:c r="F15" s="15" t="str">
        <x:v>Выживание движением</x:v>
      </x:c>
      <x:c r="G15" s="12" t="str">
        <x:v>Если герой 3 сек не получает фактического урона, скорость бега повышается на 15%.</x:v>
      </x:c>
      <x:c r="H15" s="12" t="str">
        <x:v>Бонус пропадает при следующем фактическом уроне. Уклонение его не снимает.</x:v>
      </x:c>
      <x:c r="I15" s="12" t="str">
        <x:v>Без условия</x:v>
      </x:c>
      <x:c r="J15" s="16" t="str">
        <x:v>Низкая</x:v>
      </x:c>
      <x:c r="K15" s="16" t="str">
        <x:v>Нет</x:v>
      </x:c>
      <x:c r="L15" s="16" t="str">
        <x:v>Концепт</x:v>
      </x:c>
    </x:row>
    <x:row r="16" ht="82" customHeight="1">
      <x:c r="A16" s="14" t="n">
        <x:v>12</x:v>
      </x:c>
      <x:c r="B16" s="12" t="str">
        <x:v>КОСТЯНЫЕ ШПОРЫ</x:v>
      </x:c>
      <x:c r="C16" s="12" t="str">
        <x:v>BONE SPURS</x:v>
      </x:c>
      <x:c r="D16" s="15" t="str">
        <x:v>Ботинки</x:v>
      </x:c>
      <x:c r="E16" s="15" t="str">
        <x:v>Некромант</x:v>
      </x:c>
      <x:c r="F16" s="15" t="str">
        <x:v>Свита</x:v>
      </x:c>
      <x:c r="G16" s="12" t="str">
        <x:v>Пока герой движется, приспешники в радиусе 180 получают +25% скорости передвижения.</x:v>
      </x:c>
      <x:c r="H16" s="12" t="str">
        <x:v>Не повышает скорость атаки и не действует на бойцов за пределами радиуса.</x:v>
      </x:c>
      <x:c r="I16" s="12" t="str">
        <x:v>Только Некромант</x:v>
      </x:c>
      <x:c r="J16" s="16" t="str">
        <x:v>Низкая</x:v>
      </x:c>
      <x:c r="K16" s="16" t="str">
        <x:v>Нет</x:v>
      </x:c>
      <x:c r="L16" s="16" t="str">
        <x:v>Концепт</x:v>
      </x:c>
    </x:row>
    <x:row r="17" ht="82" customHeight="1">
      <x:c r="A17" s="14" t="n">
        <x:v>13</x:v>
      </x:c>
      <x:c r="B17" s="12" t="str">
        <x:v>КОЛЬЦО ПЕРВОГО СЛЕДА</x:v>
      </x:c>
      <x:c r="C17" s="12" t="str">
        <x:v>RING OF THE FIRST TRACE</x:v>
      </x:c>
      <x:c r="D17" s="15" t="str">
        <x:v>Кольцо</x:v>
      </x:c>
      <x:c r="E17" s="15" t="str">
        <x:v>Все</x:v>
      </x:c>
      <x:c r="F17" s="15" t="str">
        <x:v>Открывающий удар</x:v>
      </x:c>
      <x:c r="G17" s="12" t="str">
        <x:v>Первое прямое попадание по врагу с полным HP наносит +15% урона.</x:v>
      </x:c>
      <x:c r="H17" s="12" t="str">
        <x:v>Один раз на каждого врага. DoT, предметы и волны не получают бонус и не расходуют его.</x:v>
      </x:c>
      <x:c r="I17" s="12" t="str">
        <x:v>Без условия</x:v>
      </x:c>
      <x:c r="J17" s="16" t="str">
        <x:v>Низкая</x:v>
      </x:c>
      <x:c r="K17" s="16" t="str">
        <x:v>Да</x:v>
      </x:c>
      <x:c r="L17" s="16" t="str">
        <x:v>К прототипу</x:v>
      </x:c>
    </x:row>
    <x:row r="18" ht="82" customHeight="1">
      <x:c r="A18" s="14" t="n">
        <x:v>14</x:v>
      </x:c>
      <x:c r="B18" s="12" t="str">
        <x:v>КОЛЬЦО РАЗВЯЗКИ</x:v>
      </x:c>
      <x:c r="C18" s="12" t="str">
        <x:v>RING OF RELEASE</x:v>
      </x:c>
      <x:c r="D18" s="15" t="str">
        <x:v>Кольцо</x:v>
      </x:c>
      <x:c r="E18" s="15" t="str">
        <x:v>Все</x:v>
      </x:c>
      <x:c r="F18" s="15" t="str">
        <x:v>Откаты предметов</x:v>
      </x:c>
      <x:c r="G18" s="12" t="str">
        <x:v>Убийство врага без активных негативных эффектов сокращает самый длинный активный откат предмета на 0,3 сек.</x:v>
      </x:c>
      <x:c r="H18" s="12" t="str">
        <x:v>Не чаще раза в секунду. Не влияет на рывок, находки и эффекты без таймера.</x:v>
      </x:c>
      <x:c r="I18" s="12" t="str">
        <x:v>Без условия</x:v>
      </x:c>
      <x:c r="J18" s="16" t="str">
        <x:v>Средняя</x:v>
      </x:c>
      <x:c r="K18" s="16" t="str">
        <x:v>Нет</x:v>
      </x:c>
      <x:c r="L18" s="16" t="str">
        <x:v>Концепт</x:v>
      </x:c>
    </x:row>
    <x:row r="19" ht="82" customHeight="1">
      <x:c r="A19" s="14" t="n">
        <x:v>15</x:v>
      </x:c>
      <x:c r="B19" s="12" t="str">
        <x:v>КОЛЬЦО БЛИЗКОЙ ЖАТВЫ</x:v>
      </x:c>
      <x:c r="C19" s="12" t="str">
        <x:v>RING OF THE CLOSE HARVEST</x:v>
      </x:c>
      <x:c r="D19" s="15" t="str">
        <x:v>Кольцо</x:v>
      </x:c>
      <x:c r="E19" s="15" t="str">
        <x:v>Все</x:v>
      </x:c>
      <x:c r="F19" s="15" t="str">
        <x:v>Ближнее восстановление</x:v>
      </x:c>
      <x:c r="G19" s="12" t="str">
        <x:v>Убийство врага в радиусе 100 восстанавливает 1% максимального HP.</x:v>
      </x:c>
      <x:c r="H19" s="12" t="str">
        <x:v>Внутренний откат 2 сек. Перелечение не создаёт барьер; призванные враги без награды не считаются.</x:v>
      </x:c>
      <x:c r="I19" s="12" t="str">
        <x:v>Без условия</x:v>
      </x:c>
      <x:c r="J19" s="16" t="str">
        <x:v>Низкая</x:v>
      </x:c>
      <x:c r="K19" s="16" t="str">
        <x:v>Нет</x:v>
      </x:c>
      <x:c r="L19" s="16" t="str">
        <x:v>Концепт</x:v>
      </x:c>
    </x:row>
    <x:row r="20" ht="82" customHeight="1">
      <x:c r="A20" s="14" t="n">
        <x:v>16</x:v>
      </x:c>
      <x:c r="B20" s="12" t="str">
        <x:v>ТРЕСНУВШИЙ ГОНГ</x:v>
      </x:c>
      <x:c r="C20" s="12" t="str">
        <x:v>CRACKED GONG</x:v>
      </x:c>
      <x:c r="D20" s="15" t="str">
        <x:v>Реликвия</x:v>
      </x:c>
      <x:c r="E20" s="15" t="str">
        <x:v>Все</x:v>
      </x:c>
      <x:c r="F20" s="15" t="str">
        <x:v>Старт пачки</x:v>
      </x:c>
      <x:c r="G20" s="12" t="str">
        <x:v>Через 1 сек после начала каждой пачки гонг слегка расталкивает врагов в радиусе 160 от героя.</x:v>
      </x:c>
      <x:c r="H20" s="12" t="str">
        <x:v>Урона и оглушения нет. Боссы не сдвигаются; одно срабатывание на пачку.</x:v>
      </x:c>
      <x:c r="I20" s="12" t="str">
        <x:v>Без условия</x:v>
      </x:c>
      <x:c r="J20" s="16" t="str">
        <x:v>Низкая</x:v>
      </x:c>
      <x:c r="K20" s="16" t="str">
        <x:v>Нет</x:v>
      </x:c>
      <x:c r="L20" s="16" t="str">
        <x:v>Концепт</x:v>
      </x:c>
    </x:row>
  </x:sheetData>
  <x:mergeCells>
    <x:mergeCell ref="A1:L1"/>
    <x:mergeCell ref="A2:L2"/>
  </x:mergeCells>
  <x:conditionalFormatting sqref="J5:J20">
    <x:cfRule type="containsText" dxfId="0" priority="1" operator="containsText" text="Высокая"/>
  </x:conditionalFormatting>
  <x:conditionalFormatting sqref="K5:K20">
    <x:cfRule type="containsText" dxfId="1" priority="2" operator="containsText" text="Да"/>
  </x:conditionalFormatting>
  <x:conditionalFormatting sqref="L5:L20">
    <x:cfRule type="containsText" dxfId="2" priority="3" operator="containsText" text="К прототипу"/>
  </x:conditionalFormatting>
  <x:dataValidations count="1">
    <x:dataValidation type="list" sqref="L5:L20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1bd3ae97ca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7" hidden="0" customWidth="1"/>
    <x:col min="4" max="4" width="14" hidden="0" customWidth="1"/>
    <x:col min="5" max="5" width="18" hidden="0" customWidth="1"/>
    <x:col min="6" max="6" width="20" hidden="0" customWidth="1"/>
    <x:col min="7" max="7" width="54" hidden="0" customWidth="1"/>
    <x:col min="8" max="8" width="54" hidden="0" customWidth="1"/>
    <x:col min="9" max="9" width="30" hidden="0" customWidth="1"/>
    <x:col min="10" max="10" width="13" hidden="0" customWidth="1"/>
    <x:col min="11" max="11" width="17" hidden="0" customWidth="1"/>
    <x:col min="12" max="12" width="16" hidden="0" customWidth="1"/>
  </x:cols>
  <x:sheetData>
    <x:row r="1" ht="30" customHeight="1">
      <x:c r="A1" s="19" t="str">
        <x:v>Редкая редкость — 24 новых предметов</x:v>
      </x:c>
      <x:c r="B1" s="19" t="str">
        <x:v>Редкая редкость — 24 новых предметов</x:v>
      </x:c>
      <x:c r="C1" s="19" t="str">
        <x:v>Редкая редкость — 24 новых предметов</x:v>
      </x:c>
      <x:c r="D1" s="19" t="str">
        <x:v>Редкая редкость — 24 новых предметов</x:v>
      </x:c>
      <x:c r="E1" s="19" t="str">
        <x:v>Редкая редкость — 24 новых предметов</x:v>
      </x:c>
      <x:c r="F1" s="19" t="str">
        <x:v>Редкая редкость — 24 новых предметов</x:v>
      </x:c>
      <x:c r="G1" s="19" t="str">
        <x:v>Редкая редкость — 24 новых предметов</x:v>
      </x:c>
      <x:c r="H1" s="19" t="str">
        <x:v>Редкая редкость — 24 новых предметов</x:v>
      </x:c>
      <x:c r="I1" s="19" t="str">
        <x:v>Редкая редкость — 24 новых предметов</x:v>
      </x:c>
      <x:c r="J1" s="19" t="str">
        <x:v>Редкая редкость — 24 новых предметов</x:v>
      </x:c>
      <x:c r="K1" s="19" t="str">
        <x:v>Редкая редкость — 24 новых предметов</x:v>
      </x:c>
      <x:c r="L1" s="19" t="str">
        <x:v>Редкая редкость — 24 новых предметов</x:v>
      </x:c>
    </x:row>
    <x:row r="2" ht="34" customHeight="1">
      <x:c r="A2" s="7" t="str">
        <x:v>Каждый предмет находится один раз за забег. Числа — стартовые гипотезы для прототипа, а не утверждённый баланс.</x:v>
      </x:c>
      <x:c r="B2" s="7" t="str">
        <x:v>Каждый предмет находится один раз за забег. Числа — стартовые гипотезы для прототипа, а не утверждённый баланс.</x:v>
      </x:c>
      <x:c r="C2" s="7" t="str">
        <x:v>Каждый предмет находится один раз за забег. Числа — стартовые гипотезы для прототипа, а не утверждённый баланс.</x:v>
      </x:c>
      <x:c r="D2" s="7" t="str">
        <x:v>Каждый предмет находится один раз за забег. Числа — стартовые гипотезы для прототипа, а не утверждённый баланс.</x:v>
      </x:c>
      <x:c r="E2" s="7" t="str">
        <x:v>Каждый предмет находится один раз за забег. Числа — стартовые гипотезы для прототипа, а не утверждённый баланс.</x:v>
      </x:c>
      <x:c r="F2" s="7" t="str">
        <x:v>Каждый предмет находится один раз за забег. Числа — стартовые гипотезы для прототипа, а не утверждённый баланс.</x:v>
      </x:c>
      <x:c r="G2" s="7" t="str">
        <x:v>Каждый предмет находится один раз за забег. Числа — стартовые гипотезы для прототипа, а не утверждённый баланс.</x:v>
      </x:c>
      <x:c r="H2" s="7" t="str">
        <x:v>Каждый предмет находится один раз за забег. Числа — стартовые гипотезы для прототипа, а не утверждённый баланс.</x:v>
      </x:c>
      <x:c r="I2" s="7" t="str">
        <x:v>Каждый предмет находится один раз за забег. Числа — стартовые гипотезы для прототипа, а не утверждённый баланс.</x:v>
      </x:c>
      <x:c r="J2" s="7" t="str">
        <x:v>Каждый предмет находится один раз за забег. Числа — стартовые гипотезы для прототипа, а не утверждённый баланс.</x:v>
      </x:c>
      <x:c r="K2" s="7" t="str">
        <x:v>Каждый предмет находится один раз за забег. Числа — стартовые гипотезы для прототипа, а не утверждённый баланс.</x:v>
      </x:c>
      <x:c r="L2" s="7" t="str">
        <x:v>Каждый предмет находится один раз за забег. Числа — стартовые гипотезы для прототипа, а не утверждённый баланс.</x:v>
      </x:c>
    </x:row>
    <x:row r="4" ht="38" customHeight="1">
      <x:c r="A4" s="21" t="str">
        <x:v>№</x:v>
      </x:c>
      <x:c r="B4" s="21" t="str">
        <x:v>Название</x:v>
      </x:c>
      <x:c r="C4" s="21" t="str">
        <x:v>English name</x:v>
      </x:c>
      <x:c r="D4" s="21" t="str">
        <x:v>Слот</x:v>
      </x:c>
      <x:c r="E4" s="21" t="str">
        <x:v>Класс</x:v>
      </x:c>
      <x:c r="F4" s="21" t="str">
        <x:v>Архетип</x:v>
      </x:c>
      <x:c r="G4" s="21" t="str">
        <x:v>Предлагаемый эффект</x:v>
      </x:c>
      <x:c r="H4" s="21" t="str">
        <x:v>Цена и ограничения</x:v>
      </x:c>
      <x:c r="I4" s="21" t="str">
        <x:v>Условие входа в пул</x:v>
      </x:c>
      <x:c r="J4" s="21" t="str">
        <x:v>Сложность</x:v>
      </x:c>
      <x:c r="K4" s="21" t="str">
        <x:v>Первый прототип</x:v>
      </x:c>
      <x:c r="L4" s="21" t="str">
        <x:v>Статус</x:v>
      </x:c>
    </x:row>
    <x:row r="5" ht="82" customHeight="1">
      <x:c r="A5" s="14" t="n">
        <x:v>1</x:v>
      </x:c>
      <x:c r="B5" s="12" t="str">
        <x:v>ПЕЧАТЬ ОХОТЫ</x:v>
      </x:c>
      <x:c r="C5" s="12" t="str">
        <x:v>SEAL OF THE HUNT</x:v>
      </x:c>
      <x:c r="D5" s="15" t="str">
        <x:v>Амулет</x:v>
      </x:c>
      <x:c r="E5" s="15" t="str">
        <x:v>Все</x:v>
      </x:c>
      <x:c r="F5" s="15" t="str">
        <x:v>Элиты и боссы</x:v>
      </x:c>
      <x:c r="G5" s="12" t="str">
        <x:v>Первое попадание по элите или боссу помечает цель на 6 сек; каждый пятый прямой удар по метке получает +25% урона.</x:v>
      </x:c>
      <x:c r="H5" s="12" t="str">
        <x:v>Одновременно одна метка. Предметный урон и DoT не двигают счётчик; новая элита переносит метку.</x:v>
      </x:c>
      <x:c r="I5" s="12" t="str">
        <x:v>Без условия</x:v>
      </x:c>
      <x:c r="J5" s="16" t="str">
        <x:v>Средняя</x:v>
      </x:c>
      <x:c r="K5" s="16" t="str">
        <x:v>Нет</x:v>
      </x:c>
      <x:c r="L5" s="16" t="str">
        <x:v>Концепт</x:v>
      </x:c>
    </x:row>
    <x:row r="6" ht="82" customHeight="1">
      <x:c r="A6" s="14" t="n">
        <x:v>2</x:v>
      </x:c>
      <x:c r="B6" s="12" t="str">
        <x:v>ЗУБ МОТЫЛЬКА</x:v>
      </x:c>
      <x:c r="C6" s="12" t="str">
        <x:v>MOTH FANG</x:v>
      </x:c>
      <x:c r="D6" s="15" t="str">
        <x:v>Амулет</x:v>
      </x:c>
      <x:c r="E6" s="15" t="str">
        <x:v>Все</x:v>
      </x:c>
      <x:c r="F6" s="15" t="str">
        <x:v>Стихийная связка</x:v>
      </x:c>
      <x:c r="G6" s="12" t="str">
        <x:v>Убийство охлаждённого врага поджигает двух ближайших противников на 15% фактически прошедшего добивающего удара за 2 сек.</x:v>
      </x:c>
      <x:c r="H6" s="12" t="str">
        <x:v>Защита новых целей применяется отдельно. Этот поджог не создаёт новый Зуб мотылька.</x:v>
      </x:c>
      <x:c r="I6" s="12" t="str">
        <x:v>Нужен источник Охлаждения</x:v>
      </x:c>
      <x:c r="J6" s="16" t="str">
        <x:v>Средняя</x:v>
      </x:c>
      <x:c r="K6" s="16" t="str">
        <x:v>Нет</x:v>
      </x:c>
      <x:c r="L6" s="16" t="str">
        <x:v>Концепт</x:v>
      </x:c>
    </x:row>
    <x:row r="7" ht="82" customHeight="1">
      <x:c r="A7" s="14" t="n">
        <x:v>3</x:v>
      </x:c>
      <x:c r="B7" s="12" t="str">
        <x:v>ПЕСОЧНЫЕ ЧЁТКИ</x:v>
      </x:c>
      <x:c r="C7" s="12" t="str">
        <x:v>SAND BEADS</x:v>
      </x:c>
      <x:c r="D7" s="15" t="str">
        <x:v>Амулет</x:v>
      </x:c>
      <x:c r="E7" s="15" t="str">
        <x:v>Все</x:v>
      </x:c>
      <x:c r="F7" s="15" t="str">
        <x:v>Откаты предметов</x:v>
      </x:c>
      <x:c r="G7" s="12" t="str">
        <x:v>Рывок сокращает все активные боевые откаты предметов на 0,5 сек.</x:v>
      </x:c>
      <x:c r="H7" s="12" t="str">
        <x:v>Срабатывает не чаще раза в секунду. Не влияет на шанс находки, книги, тотемы и откат самого рывка.</x:v>
      </x:c>
      <x:c r="I7" s="12" t="str">
        <x:v>Нужен предмет с боевым откатом</x:v>
      </x:c>
      <x:c r="J7" s="16" t="str">
        <x:v>Низкая</x:v>
      </x:c>
      <x:c r="K7" s="16" t="str">
        <x:v>Нет</x:v>
      </x:c>
      <x:c r="L7" s="16" t="str">
        <x:v>Концепт</x:v>
      </x:c>
    </x:row>
    <x:row r="8" ht="82" customHeight="1">
      <x:c r="A8" s="14" t="n">
        <x:v>4</x:v>
      </x:c>
      <x:c r="B8" s="12" t="str">
        <x:v>ГЛАЗ КОМЕТЫ</x:v>
      </x:c>
      <x:c r="C8" s="12" t="str">
        <x:v>COMET EYE</x:v>
      </x:c>
      <x:c r="D8" s="15" t="str">
        <x:v>Амулет</x:v>
      </x:c>
      <x:c r="E8" s="15" t="str">
        <x:v>Маг</x:v>
      </x:c>
      <x:c r="F8" s="15" t="str">
        <x:v>Одиночная цель</x:v>
      </x:c>
      <x:c r="G8" s="12" t="str">
        <x:v>Взрыв сферы, задевший ровно одного врага, наносит ему +35% урона.</x:v>
      </x:c>
      <x:c r="H8" s="12" t="str">
        <x:v>Счёт целей фиксируется до нанесения урона. Мини-сфера считает собственный взрыв; прямое попадание не усиливается.</x:v>
      </x:c>
      <x:c r="I8" s="12" t="str">
        <x:v>Только Маг</x:v>
      </x:c>
      <x:c r="J8" s="16" t="str">
        <x:v>Низкая</x:v>
      </x:c>
      <x:c r="K8" s="16" t="str">
        <x:v>Да</x:v>
      </x:c>
      <x:c r="L8" s="16" t="str">
        <x:v>К прототипу</x:v>
      </x:c>
    </x:row>
    <x:row r="9" ht="82" customHeight="1">
      <x:c r="A9" s="14" t="n">
        <x:v>5</x:v>
      </x:c>
      <x:c r="B9" s="12" t="str">
        <x:v>ПЕЧАТЬ СТАИ</x:v>
      </x:c>
      <x:c r="C9" s="12" t="str">
        <x:v>SEAL OF THE PACK</x:v>
      </x:c>
      <x:c r="D9" s="15" t="str">
        <x:v>Амулет</x:v>
      </x:c>
      <x:c r="E9" s="15" t="str">
        <x:v>Некромант</x:v>
      </x:c>
      <x:c r="F9" s="15" t="str">
        <x:v>Состав свиты</x:v>
      </x:c>
      <x:c r="G9" s="12" t="str">
        <x:v>Каждый различный живой тип приспешника даёт всей свите +8% урона, максимум четыре типа и +32%.</x:v>
      </x:c>
      <x:c r="H9" s="12" t="str">
        <x:v>Повторные бойцы одного типа не добавляют стаки. Бонус пересчитывается при смерти и призыве.</x:v>
      </x:c>
      <x:c r="I9" s="12" t="str">
        <x:v>Только Некромант</x:v>
      </x:c>
      <x:c r="J9" s="16" t="str">
        <x:v>Низкая</x:v>
      </x:c>
      <x:c r="K9" s="16" t="str">
        <x:v>Да</x:v>
      </x:c>
      <x:c r="L9" s="16" t="str">
        <x:v>К прототипу</x:v>
      </x:c>
    </x:row>
    <x:row r="10" ht="82" customHeight="1">
      <x:c r="A10" s="14" t="n">
        <x:v>6</x:v>
      </x:c>
      <x:c r="B10" s="12" t="str">
        <x:v>КУЗНЕЧНЫЕ РУКАВИЦЫ</x:v>
      </x:c>
      <x:c r="C10" s="12" t="str">
        <x:v>FORGE GAUNTLETS</x:v>
      </x:c>
      <x:c r="D10" s="15" t="str">
        <x:v>Перчатки</x:v>
      </x:c>
      <x:c r="E10" s="15" t="str">
        <x:v>Воин</x:v>
      </x:c>
      <x:c r="F10" s="15" t="str">
        <x:v>Столкновения</x:v>
      </x:c>
      <x:c r="G10" s="12" t="str">
        <x:v>Сильно отброшенный враг при столкновении с другим наносит обоим 20% фактически прошедшего ближнего удара.</x:v>
      </x:c>
      <x:c r="H10" s="12" t="str">
        <x:v>Каждому участнику отдельно применяется защита. Одна коллизия на цель за атаку; столкновение не создаёт другое столкновение.</x:v>
      </x:c>
      <x:c r="I10" s="12" t="str">
        <x:v>Только Воин и источник отбрасывания</x:v>
      </x:c>
      <x:c r="J10" s="16" t="str">
        <x:v>Средняя</x:v>
      </x:c>
      <x:c r="K10" s="16" t="str">
        <x:v>Да</x:v>
      </x:c>
      <x:c r="L10" s="16" t="str">
        <x:v>К прототипу</x:v>
      </x:c>
    </x:row>
    <x:row r="11" ht="82" customHeight="1">
      <x:c r="A11" s="14" t="n">
        <x:v>7</x:v>
      </x:c>
      <x:c r="B11" s="12" t="str">
        <x:v>ЛАДОНЬ КАРТОГРАФА</x:v>
      </x:c>
      <x:c r="C11" s="12" t="str">
        <x:v>CARTOGRAPHER'S PALM</x:v>
      </x:c>
      <x:c r="D11" s="15" t="str">
        <x:v>Перчатки</x:v>
      </x:c>
      <x:c r="E11" s="15" t="str">
        <x:v>Лучник</x:v>
      </x:c>
      <x:c r="F11" s="15" t="str">
        <x:v>Пробитие</x:v>
      </x:c>
      <x:c r="G11" s="12" t="str">
        <x:v>Каждая новая цель, пробитая одной стрелой, даёт следующей стреле +6% урона, максимум +30%.</x:v>
      </x:c>
      <x:c r="H11" s="12" t="str">
        <x:v>Одна цель считается один раз даже после рикошета. Заряд тратится при запуске следующей обычной стрелы.</x:v>
      </x:c>
      <x:c r="I11" s="12" t="str">
        <x:v>Только Лучник и источник пробития</x:v>
      </x:c>
      <x:c r="J11" s="16" t="str">
        <x:v>Средняя</x:v>
      </x:c>
      <x:c r="K11" s="16" t="str">
        <x:v>Нет</x:v>
      </x:c>
      <x:c r="L11" s="16" t="str">
        <x:v>Концепт</x:v>
      </x:c>
    </x:row>
    <x:row r="12" ht="82" customHeight="1">
      <x:c r="A12" s="14" t="n">
        <x:v>8</x:v>
      </x:c>
      <x:c r="B12" s="12" t="str">
        <x:v>КИСТИ ЗАТМЕНИЯ</x:v>
      </x:c>
      <x:c r="C12" s="12" t="str">
        <x:v>ECLIPSE BRUSHES</x:v>
      </x:c>
      <x:c r="D12" s="15" t="str">
        <x:v>Перчатки</x:v>
      </x:c>
      <x:c r="E12" s="15" t="str">
        <x:v>Маг</x:v>
      </x:c>
      <x:c r="F12" s="15" t="str">
        <x:v>Большая группа</x:v>
      </x:c>
      <x:c r="G12" s="12" t="str">
        <x:v>Взрыв, задевший минимум четырёх врагов, даёт следующей сфере +25% радиуса.</x:v>
      </x:c>
      <x:c r="H12" s="12" t="str">
        <x:v>Усиленная сфера наносит на 10% меньше урона. Бонус не складывается; мини-сферы не заряжают эффект.</x:v>
      </x:c>
      <x:c r="I12" s="12" t="str">
        <x:v>Только Маг</x:v>
      </x:c>
      <x:c r="J12" s="16" t="str">
        <x:v>Низкая</x:v>
      </x:c>
      <x:c r="K12" s="16" t="str">
        <x:v>Нет</x:v>
      </x:c>
      <x:c r="L12" s="16" t="str">
        <x:v>Концепт</x:v>
      </x:c>
    </x:row>
    <x:row r="13" ht="82" customHeight="1">
      <x:c r="A13" s="14" t="n">
        <x:v>9</x:v>
      </x:c>
      <x:c r="B13" s="12" t="str">
        <x:v>ПАЛЬЦЫ КУКЛОВОДА</x:v>
      </x:c>
      <x:c r="C13" s="12" t="str">
        <x:v>PUPPETEER'S FINGERS</x:v>
      </x:c>
      <x:c r="D13" s="15" t="str">
        <x:v>Перчатки</x:v>
      </x:c>
      <x:c r="E13" s="15" t="str">
        <x:v>Некромант</x:v>
      </x:c>
      <x:c r="F13" s="15" t="str">
        <x:v>Смена цели</x:v>
      </x:c>
      <x:c r="G13" s="12" t="str">
        <x:v>Первый удар приспешника после смены цели наносит +25% урона.</x:v>
      </x:c>
      <x:c r="H13" s="12" t="str">
        <x:v>Для каждого бойца внутренний откат 1,5 сек. Переключение на ту же цель бонус не обновляет.</x:v>
      </x:c>
      <x:c r="I13" s="12" t="str">
        <x:v>Только Некромант</x:v>
      </x:c>
      <x:c r="J13" s="16" t="str">
        <x:v>Средняя</x:v>
      </x:c>
      <x:c r="K13" s="16" t="str">
        <x:v>Нет</x:v>
      </x:c>
      <x:c r="L13" s="16" t="str">
        <x:v>Концепт</x:v>
      </x:c>
    </x:row>
    <x:row r="14" ht="82" customHeight="1">
      <x:c r="A14" s="14" t="n">
        <x:v>10</x:v>
      </x:c>
      <x:c r="B14" s="12" t="str">
        <x:v>ПЕРЧАТКИ ПАЛАЧА</x:v>
      </x:c>
      <x:c r="C14" s="12" t="str">
        <x:v>EXECUTIONER'S GLOVES</x:v>
      </x:c>
      <x:c r="D14" s="15" t="str">
        <x:v>Перчатки</x:v>
      </x:c>
      <x:c r="E14" s="15" t="str">
        <x:v>Все</x:v>
      </x:c>
      <x:c r="F14" s="15" t="str">
        <x:v>Продление баффов</x:v>
      </x:c>
      <x:c r="G14" s="12" t="str">
        <x:v>Убийство элиты или босса продлевает действующие временные баффы от предметов на 2 сек.</x:v>
      </x:c>
      <x:c r="H14" s="12" t="str">
        <x:v>Оставшаяся длительность каждого баффа не может превысить 10 сек. Откаты и постоянные эффекты не меняются.</x:v>
      </x:c>
      <x:c r="I14" s="12" t="str">
        <x:v>Нужен предмет с временным баффом</x:v>
      </x:c>
      <x:c r="J14" s="16" t="str">
        <x:v>Средняя</x:v>
      </x:c>
      <x:c r="K14" s="16" t="str">
        <x:v>Нет</x:v>
      </x:c>
      <x:c r="L14" s="16" t="str">
        <x:v>Концепт</x:v>
      </x:c>
    </x:row>
    <x:row r="15" ht="82" customHeight="1">
      <x:c r="A15" s="14" t="n">
        <x:v>11</x:v>
      </x:c>
      <x:c r="B15" s="12" t="str">
        <x:v>САПОГИ ИСКРОВОГО ШАГА</x:v>
      </x:c>
      <x:c r="C15" s="12" t="str">
        <x:v>SPARKSTEP BOOTS</x:v>
      </x:c>
      <x:c r="D15" s="15" t="str">
        <x:v>Ботинки</x:v>
      </x:c>
      <x:c r="E15" s="15" t="str">
        <x:v>Все</x:v>
      </x:c>
      <x:c r="F15" s="15" t="str">
        <x:v>Рывок и молния</x:v>
      </x:c>
      <x:c r="G15" s="12" t="str">
        <x:v>Рывок оставляет сигил; через 0,4 сек он поражает ближайшего врага на 35% среднего урона автоатаки.</x:v>
      </x:c>
      <x:c r="H15" s="12" t="str">
        <x:v>Применяется защита цели. Один сигил на рывок; его удар не критует, не накладывает книги и не запускает предметы.</x:v>
      </x:c>
      <x:c r="I15" s="12" t="str">
        <x:v>Без условия</x:v>
      </x:c>
      <x:c r="J15" s="16" t="str">
        <x:v>Средняя</x:v>
      </x:c>
      <x:c r="K15" s="16" t="str">
        <x:v>Нет</x:v>
      </x:c>
      <x:c r="L15" s="16" t="str">
        <x:v>Концепт</x:v>
      </x:c>
    </x:row>
    <x:row r="16" ht="82" customHeight="1">
      <x:c r="A16" s="14" t="n">
        <x:v>12</x:v>
      </x:c>
      <x:c r="B16" s="12" t="str">
        <x:v>ПОДОШВЫ ПОПУТНОГО ВЕТРА</x:v>
      </x:c>
      <x:c r="C16" s="12" t="str">
        <x:v>TAILWIND SOLES</x:v>
      </x:c>
      <x:c r="D16" s="15" t="str">
        <x:v>Ботинки</x:v>
      </x:c>
      <x:c r="E16" s="15" t="str">
        <x:v>Лучник</x:v>
      </x:c>
      <x:c r="F16" s="15" t="str">
        <x:v>Позиционирование</x:v>
      </x:c>
      <x:c r="G16" s="12" t="str">
        <x:v>Пока герой движется примерно в направлении полёта стрелы, она получает +20% скорости и +10% урона.</x:v>
      </x:c>
      <x:c r="H16" s="12" t="str">
        <x:v>Угол допуска 45°. Направление и бонус фиксируются при запуске; возвратные стрелы его не получают.</x:v>
      </x:c>
      <x:c r="I16" s="12" t="str">
        <x:v>Только Лучник</x:v>
      </x:c>
      <x:c r="J16" s="16" t="str">
        <x:v>Средняя</x:v>
      </x:c>
      <x:c r="K16" s="16" t="str">
        <x:v>Нет</x:v>
      </x:c>
      <x:c r="L16" s="16" t="str">
        <x:v>Концепт</x:v>
      </x:c>
    </x:row>
    <x:row r="17" ht="82" customHeight="1">
      <x:c r="A17" s="14" t="n">
        <x:v>13</x:v>
      </x:c>
      <x:c r="B17" s="12" t="str">
        <x:v>ПЕПЕЛЬНЫЕ ПОДОШВЫ</x:v>
      </x:c>
      <x:c r="C17" s="12" t="str">
        <x:v>ASHEN TREADS</x:v>
      </x:c>
      <x:c r="D17" s="15" t="str">
        <x:v>Ботинки</x:v>
      </x:c>
      <x:c r="E17" s="15" t="str">
        <x:v>Все</x:v>
      </x:c>
      <x:c r="F17" s="15" t="str">
        <x:v>Трупы</x:v>
      </x:c>
      <x:c r="G17" s="12" t="str">
        <x:v>Проход рядом со свежим трупом даёт +12% урона на 2 сек.</x:v>
      </x:c>
      <x:c r="H17" s="12" t="str">
        <x:v>Труп не расходуется, но считается один раз. Не чаще одного нового заряда в секунду; длительность обновляется.</x:v>
      </x:c>
      <x:c r="I17" s="12" t="str">
        <x:v>Без условия</x:v>
      </x:c>
      <x:c r="J17" s="16" t="str">
        <x:v>Средняя</x:v>
      </x:c>
      <x:c r="K17" s="16" t="str">
        <x:v>Нет</x:v>
      </x:c>
      <x:c r="L17" s="16" t="str">
        <x:v>Концепт</x:v>
      </x:c>
    </x:row>
    <x:row r="18" ht="82" customHeight="1">
      <x:c r="A18" s="14" t="n">
        <x:v>14</x:v>
      </x:c>
      <x:c r="B18" s="12" t="str">
        <x:v>ЗАЗЕМЛЁННЫЕ САБАТОНЫ</x:v>
      </x:c>
      <x:c r="C18" s="12" t="str">
        <x:v>GROUNDED SABATONS</x:v>
      </x:c>
      <x:c r="D18" s="15" t="str">
        <x:v>Ботинки</x:v>
      </x:c>
      <x:c r="E18" s="15" t="str">
        <x:v>Все</x:v>
      </x:c>
      <x:c r="F18" s="15" t="str">
        <x:v>Стойка и контроль</x:v>
      </x:c>
      <x:c r="G18" s="12" t="str">
        <x:v>После 1 сек без движения герой не отбрасывается и получает на 50% меньшую длительность шока и оглушения.</x:v>
      </x:c>
      <x:c r="H18" s="12" t="str">
        <x:v>Движение или рывок снимает стойку. Урон эффектов не уменьшается.</x:v>
      </x:c>
      <x:c r="I18" s="12" t="str">
        <x:v>Без условия</x:v>
      </x:c>
      <x:c r="J18" s="16" t="str">
        <x:v>Низкая</x:v>
      </x:c>
      <x:c r="K18" s="16" t="str">
        <x:v>Нет</x:v>
      </x:c>
      <x:c r="L18" s="16" t="str">
        <x:v>Концепт</x:v>
      </x:c>
    </x:row>
    <x:row r="19" ht="82" customHeight="1">
      <x:c r="A19" s="14" t="n">
        <x:v>15</x:v>
      </x:c>
      <x:c r="B19" s="12" t="str">
        <x:v>МАРШЕВЫЕ ПОНОЖИ</x:v>
      </x:c>
      <x:c r="C19" s="12" t="str">
        <x:v>MARCHING GREAVES</x:v>
      </x:c>
      <x:c r="D19" s="15" t="str">
        <x:v>Ботинки</x:v>
      </x:c>
      <x:c r="E19" s="15" t="str">
        <x:v>Некромант</x:v>
      </x:c>
      <x:c r="F19" s="15" t="str">
        <x:v>Марш свиты</x:v>
      </x:c>
      <x:c r="G19" s="12" t="str">
        <x:v>После 2 сек непрерывного движения свита получает +20% скорости бега и +10% скорости атаки.</x:v>
      </x:c>
      <x:c r="H19" s="12" t="str">
        <x:v>Остановка дольше 0,25 сек снимает эффект. Бонус действует только на живых бойцов.</x:v>
      </x:c>
      <x:c r="I19" s="12" t="str">
        <x:v>Только Некромант</x:v>
      </x:c>
      <x:c r="J19" s="16" t="str">
        <x:v>Низкая</x:v>
      </x:c>
      <x:c r="K19" s="16" t="str">
        <x:v>Нет</x:v>
      </x:c>
      <x:c r="L19" s="16" t="str">
        <x:v>Концепт</x:v>
      </x:c>
    </x:row>
    <x:row r="20" ht="82" customHeight="1">
      <x:c r="A20" s="14" t="n">
        <x:v>16</x:v>
      </x:c>
      <x:c r="B20" s="12" t="str">
        <x:v>КОЛЬЦО ВТОРОГО ДЫХАНИЯ</x:v>
      </x:c>
      <x:c r="C20" s="12" t="str">
        <x:v>RING OF SECOND WIND</x:v>
      </x:c>
      <x:c r="D20" s="15" t="str">
        <x:v>Кольцо</x:v>
      </x:c>
      <x:c r="E20" s="15" t="str">
        <x:v>Все</x:v>
      </x:c>
      <x:c r="F20" s="15" t="str">
        <x:v>Рывок</x:v>
      </x:c>
      <x:c r="G20" s="12" t="str">
        <x:v>Каждые 30 убийств восстанавливают один полный заряд рывка.</x:v>
      </x:c>
      <x:c r="H20" s="12" t="str">
        <x:v>Нет переполнения зарядов. Враги без опыта и награды не считаются; счётчик виден в tooltip.</x:v>
      </x:c>
      <x:c r="I20" s="12" t="str">
        <x:v>Без условия</x:v>
      </x:c>
      <x:c r="J20" s="16" t="str">
        <x:v>Низкая</x:v>
      </x:c>
      <x:c r="K20" s="16" t="str">
        <x:v>Да</x:v>
      </x:c>
      <x:c r="L20" s="16" t="str">
        <x:v>К прототипу</x:v>
      </x:c>
    </x:row>
    <x:row r="21" ht="82" customHeight="1">
      <x:c r="A21" s="14" t="n">
        <x:v>17</x:v>
      </x:c>
      <x:c r="B21" s="12" t="str">
        <x:v>КОЛЬЦО ОСТЫВАЮЩЕГО ПЕПЛА</x:v>
      </x:c>
      <x:c r="C21" s="12" t="str">
        <x:v>RING OF COOLING ASH</x:v>
      </x:c>
      <x:c r="D21" s="15" t="str">
        <x:v>Кольцо</x:v>
      </x:c>
      <x:c r="E21" s="15" t="str">
        <x:v>Все</x:v>
      </x:c>
      <x:c r="F21" s="15" t="str">
        <x:v>Стихийная связка</x:v>
      </x:c>
      <x:c r="G21" s="12" t="str">
        <x:v>Убийство горящего врага охлаждает двух ближайших противников на 0,6 сек.</x:v>
      </x:c>
      <x:c r="H21" s="12" t="str">
        <x:v>Не наносит урон. На боссах длительность вдвое меньше; одно убийство создаёт одну волну охлаждения.</x:v>
      </x:c>
      <x:c r="I21" s="12" t="str">
        <x:v>Нужен источник Поджога</x:v>
      </x:c>
      <x:c r="J21" s="16" t="str">
        <x:v>Средняя</x:v>
      </x:c>
      <x:c r="K21" s="16" t="str">
        <x:v>Нет</x:v>
      </x:c>
      <x:c r="L21" s="16" t="str">
        <x:v>Концепт</x:v>
      </x:c>
    </x:row>
    <x:row r="22" ht="82" customHeight="1">
      <x:c r="A22" s="14" t="n">
        <x:v>18</x:v>
      </x:c>
      <x:c r="B22" s="12" t="str">
        <x:v>КОЛЬЦО ТЕСНОТЫ</x:v>
      </x:c>
      <x:c r="C22" s="12" t="str">
        <x:v>RING OF CONFINEMENT</x:v>
      </x:c>
      <x:c r="D22" s="15" t="str">
        <x:v>Кольцо</x:v>
      </x:c>
      <x:c r="E22" s="15" t="str">
        <x:v>Все</x:v>
      </x:c>
      <x:c r="F22" s="15" t="str">
        <x:v>Бой в толпе</x:v>
      </x:c>
      <x:c r="G22" s="12" t="str">
        <x:v>+3% ко всему урону за каждого обычного врага в радиусе 160, максимум десять врагов и +30%.</x:v>
      </x:c>
      <x:c r="H22" s="12" t="str">
        <x:v>Число целей фиксируется один раз на атаку, чтобы массовый удар не пересчитывал множитель для каждой цели.</x:v>
      </x:c>
      <x:c r="I22" s="12" t="str">
        <x:v>Без условия</x:v>
      </x:c>
      <x:c r="J22" s="16" t="str">
        <x:v>Средняя</x:v>
      </x:c>
      <x:c r="K22" s="16" t="str">
        <x:v>Нет</x:v>
      </x:c>
      <x:c r="L22" s="16" t="str">
        <x:v>Концепт</x:v>
      </x:c>
    </x:row>
    <x:row r="23" ht="82" customHeight="1">
      <x:c r="A23" s="14" t="n">
        <x:v>19</x:v>
      </x:c>
      <x:c r="B23" s="12" t="str">
        <x:v>КОЛЬЦО РЕАКЦИИ</x:v>
      </x:c>
      <x:c r="C23" s="12" t="str">
        <x:v>RING OF REACTION</x:v>
      </x:c>
      <x:c r="D23" s="15" t="str">
        <x:v>Кольцо</x:v>
      </x:c>
      <x:c r="E23" s="15" t="str">
        <x:v>Все</x:v>
      </x:c>
      <x:c r="F23" s="15" t="str">
        <x:v>Уклонение</x:v>
      </x:c>
      <x:c r="G23" s="12" t="str">
        <x:v>Успешное уклонение делает следующее прямое попадание в течение 2 сек гарантированным критом.</x:v>
      </x:c>
      <x:c r="H23" s="12" t="str">
        <x:v>Внутренний откат 3 сек. Не срабатывает от удалённого Блока и не усиливает предметный урон.</x:v>
      </x:c>
      <x:c r="I23" s="12" t="str">
        <x:v>Нужен ненулевой Уворот</x:v>
      </x:c>
      <x:c r="J23" s="16" t="str">
        <x:v>Низкая</x:v>
      </x:c>
      <x:c r="K23" s="16" t="str">
        <x:v>Нет</x:v>
      </x:c>
      <x:c r="L23" s="16" t="str">
        <x:v>Концепт</x:v>
      </x:c>
    </x:row>
    <x:row r="24" ht="82" customHeight="1">
      <x:c r="A24" s="14" t="n">
        <x:v>20</x:v>
      </x:c>
      <x:c r="B24" s="12" t="str">
        <x:v>КОЛЬЦО ПРОВОДНИКА</x:v>
      </x:c>
      <x:c r="C24" s="12" t="str">
        <x:v>CONDUCTOR RING</x:v>
      </x:c>
      <x:c r="D24" s="15" t="str">
        <x:v>Кольцо</x:v>
      </x:c>
      <x:c r="E24" s="15" t="str">
        <x:v>Все</x:v>
      </x:c>
      <x:c r="F24" s="15" t="str">
        <x:v>Шок</x:v>
      </x:c>
      <x:c r="G24" s="12" t="str">
        <x:v>Разряд шока может перескочить ещё на одну цель.</x:v>
      </x:c>
      <x:c r="H24" s="12" t="str">
        <x:v>Каждый дополнительный переход наносит на 30% меньше предыдущего. Новая цель не может запустить отдельную цепь этого кольца.</x:v>
      </x:c>
      <x:c r="I24" s="12" t="str">
        <x:v>Нужен источник Шока</x:v>
      </x:c>
      <x:c r="J24" s="16" t="str">
        <x:v>Низкая</x:v>
      </x:c>
      <x:c r="K24" s="16" t="str">
        <x:v>Да</x:v>
      </x:c>
      <x:c r="L24" s="16" t="str">
        <x:v>К прототипу</x:v>
      </x:c>
    </x:row>
    <x:row r="25" ht="82" customHeight="1">
      <x:c r="A25" s="14" t="n">
        <x:v>21</x:v>
      </x:c>
      <x:c r="B25" s="12" t="str">
        <x:v>ЗНАМЯ ОХОТЫ</x:v>
      </x:c>
      <x:c r="C25" s="12" t="str">
        <x:v>HUNTER'S STANDARD</x:v>
      </x:c>
      <x:c r="D25" s="15" t="str">
        <x:v>Реликвия</x:v>
      </x:c>
      <x:c r="E25" s="15" t="str">
        <x:v>Все</x:v>
      </x:c>
      <x:c r="F25" s="15" t="str">
        <x:v>Старт пачки</x:v>
      </x:c>
      <x:c r="G25" s="12" t="str">
        <x:v>В начале пачки помечается враг с наибольшим HP; его убийство за 8 сек даёт +15% скорости атаки и бега на 5 сек.</x:v>
      </x:c>
      <x:c r="H25" s="12" t="str">
        <x:v>Босс может быть целью, но бафф выдаётся один раз на пачку. Враги без награды не выбираются.</x:v>
      </x:c>
      <x:c r="I25" s="12" t="str">
        <x:v>Без условия</x:v>
      </x:c>
      <x:c r="J25" s="16" t="str">
        <x:v>Средняя</x:v>
      </x:c>
      <x:c r="K25" s="16" t="str">
        <x:v>Нет</x:v>
      </x:c>
      <x:c r="L25" s="16" t="str">
        <x:v>Концепт</x:v>
      </x:c>
    </x:row>
    <x:row r="26" ht="82" customHeight="1">
      <x:c r="A26" s="14" t="n">
        <x:v>22</x:v>
      </x:c>
      <x:c r="B26" s="12" t="str">
        <x:v>КНИГА ДОЛГОВ</x:v>
      </x:c>
      <x:c r="C26" s="12" t="str">
        <x:v>LEDGER OF DEBTS</x:v>
      </x:c>
      <x:c r="D26" s="15" t="str">
        <x:v>Реликвия</x:v>
      </x:c>
      <x:c r="E26" s="15" t="str">
        <x:v>Все</x:v>
      </x:c>
      <x:c r="F26" s="15" t="str">
        <x:v>Риск и награда</x:v>
      </x:c>
      <x:c r="G26" s="12" t="str">
        <x:v>Каждый новый предмет после этой реликвии даёт герою +3% урона, но повышает HP текущих и будущих врагов на 2%.</x:v>
      </x:c>
      <x:c r="H26" s="12" t="str">
        <x:v>Максимум 10 стаков. Текущие враги сохраняют процент заполнения HP; счётчик показывается в интерфейсе.</x:v>
      </x:c>
      <x:c r="I26" s="12" t="str">
        <x:v>Без условия</x:v>
      </x:c>
      <x:c r="J26" s="16" t="str">
        <x:v>Средняя</x:v>
      </x:c>
      <x:c r="K26" s="16" t="str">
        <x:v>Нет</x:v>
      </x:c>
      <x:c r="L26" s="16" t="str">
        <x:v>Концепт</x:v>
      </x:c>
    </x:row>
    <x:row r="27" ht="82" customHeight="1">
      <x:c r="A27" s="14" t="n">
        <x:v>23</x:v>
      </x:c>
      <x:c r="B27" s="12" t="str">
        <x:v>СТЕКЛЯННЫЙ КОЛОКОЛ</x:v>
      </x:c>
      <x:c r="C27" s="12" t="str">
        <x:v>GLASS BELL</x:v>
      </x:c>
      <x:c r="D27" s="15" t="str">
        <x:v>Реликвия</x:v>
      </x:c>
      <x:c r="E27" s="15" t="str">
        <x:v>Все</x:v>
      </x:c>
      <x:c r="F27" s="15" t="str">
        <x:v>Защита от снарядов</x:v>
      </x:c>
      <x:c r="G27" s="12" t="str">
        <x:v>Раз в 15 сек первый вражеский снаряд, вошедший в радиус 100, разрушается и вызывает у стрелявшего головокружение на 0,4 сек.</x:v>
      </x:c>
      <x:c r="H27" s="12" t="str">
        <x:v>Это не Блок и не событие получения урона. Босс получает только 0,2 сек головокружения.</x:v>
      </x:c>
      <x:c r="I27" s="12" t="str">
        <x:v>Без условия</x:v>
      </x:c>
      <x:c r="J27" s="16" t="str">
        <x:v>Средняя</x:v>
      </x:c>
      <x:c r="K27" s="16" t="str">
        <x:v>Нет</x:v>
      </x:c>
      <x:c r="L27" s="16" t="str">
        <x:v>Концепт</x:v>
      </x:c>
    </x:row>
    <x:row r="28" ht="82" customHeight="1">
      <x:c r="A28" s="14" t="n">
        <x:v>24</x:v>
      </x:c>
      <x:c r="B28" s="12" t="str">
        <x:v>КЛЮЧ ГЛУБИН</x:v>
      </x:c>
      <x:c r="C28" s="12" t="str">
        <x:v>KEY TO THE DEPTHS</x:v>
      </x:c>
      <x:c r="D28" s="15" t="str">
        <x:v>Реликвия</x:v>
      </x:c>
      <x:c r="E28" s="15" t="str">
        <x:v>Все</x:v>
      </x:c>
      <x:c r="F28" s="15" t="str">
        <x:v>Выбор добычи</x:v>
      </x:c>
      <x:c r="G28" s="12" t="str">
        <x:v>После босса выпавший предмет показывается вместе со второй альтернативой той же редкости; игрок выбирает один.</x:v>
      </x:c>
      <x:c r="H28" s="12" t="str">
        <x:v>Один выбор на босса. Если в пуле меньше двух подходящих предметов, работает обычная находка.</x:v>
      </x:c>
      <x:c r="I28" s="12" t="str">
        <x:v>Без условия</x:v>
      </x:c>
      <x:c r="J28" s="16" t="str">
        <x:v>Высокая</x:v>
      </x:c>
      <x:c r="K28" s="16" t="str">
        <x:v>Нет</x:v>
      </x:c>
      <x:c r="L28" s="16" t="str">
        <x:v>Концепт</x:v>
      </x:c>
    </x:row>
  </x:sheetData>
  <x:mergeCells>
    <x:mergeCell ref="A1:L1"/>
    <x:mergeCell ref="A2:L2"/>
  </x:mergeCells>
  <x:conditionalFormatting sqref="J5:J28">
    <x:cfRule type="containsText" dxfId="3" priority="1" operator="containsText" text="Высокая"/>
  </x:conditionalFormatting>
  <x:conditionalFormatting sqref="K5:K28">
    <x:cfRule type="containsText" dxfId="4" priority="2" operator="containsText" text="Да"/>
  </x:conditionalFormatting>
  <x:conditionalFormatting sqref="L5:L28">
    <x:cfRule type="containsText" dxfId="5" priority="3" operator="containsText" text="К прототипу"/>
  </x:conditionalFormatting>
  <x:dataValidations count="1">
    <x:dataValidation type="list" sqref="L5:L28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4eed44073446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7" hidden="0" customWidth="1"/>
    <x:col min="4" max="4" width="14" hidden="0" customWidth="1"/>
    <x:col min="5" max="5" width="18" hidden="0" customWidth="1"/>
    <x:col min="6" max="6" width="20" hidden="0" customWidth="1"/>
    <x:col min="7" max="7" width="54" hidden="0" customWidth="1"/>
    <x:col min="8" max="8" width="54" hidden="0" customWidth="1"/>
    <x:col min="9" max="9" width="30" hidden="0" customWidth="1"/>
    <x:col min="10" max="10" width="13" hidden="0" customWidth="1"/>
    <x:col min="11" max="11" width="17" hidden="0" customWidth="1"/>
    <x:col min="12" max="12" width="16" hidden="0" customWidth="1"/>
  </x:cols>
  <x:sheetData>
    <x:row r="1" ht="30" customHeight="1">
      <x:c r="A1" s="24" t="str">
        <x:v>Эпическая редкость — 20 новых предметов</x:v>
      </x:c>
      <x:c r="B1" s="24" t="str">
        <x:v>Эпическая редкость — 20 новых предметов</x:v>
      </x:c>
      <x:c r="C1" s="24" t="str">
        <x:v>Эпическая редкость — 20 новых предметов</x:v>
      </x:c>
      <x:c r="D1" s="24" t="str">
        <x:v>Эпическая редкость — 20 новых предметов</x:v>
      </x:c>
      <x:c r="E1" s="24" t="str">
        <x:v>Эпическая редкость — 20 новых предметов</x:v>
      </x:c>
      <x:c r="F1" s="24" t="str">
        <x:v>Эпическая редкость — 20 новых предметов</x:v>
      </x:c>
      <x:c r="G1" s="24" t="str">
        <x:v>Эпическая редкость — 20 новых предметов</x:v>
      </x:c>
      <x:c r="H1" s="24" t="str">
        <x:v>Эпическая редкость — 20 новых предметов</x:v>
      </x:c>
      <x:c r="I1" s="24" t="str">
        <x:v>Эпическая редкость — 20 новых предметов</x:v>
      </x:c>
      <x:c r="J1" s="24" t="str">
        <x:v>Эпическая редкость — 20 новых предметов</x:v>
      </x:c>
      <x:c r="K1" s="24" t="str">
        <x:v>Эпическая редкость — 20 новых предметов</x:v>
      </x:c>
      <x:c r="L1" s="24" t="str">
        <x:v>Эпическая редкость — 20 новых предметов</x:v>
      </x:c>
    </x:row>
    <x:row r="2" ht="34" customHeight="1">
      <x:c r="A2" s="7" t="str">
        <x:v>Каждый предмет находится один раз за забег. Числа — стартовые гипотезы для прототипа, а не утверждённый баланс.</x:v>
      </x:c>
      <x:c r="B2" s="7" t="str">
        <x:v>Каждый предмет находится один раз за забег. Числа — стартовые гипотезы для прототипа, а не утверждённый баланс.</x:v>
      </x:c>
      <x:c r="C2" s="7" t="str">
        <x:v>Каждый предмет находится один раз за забег. Числа — стартовые гипотезы для прототипа, а не утверждённый баланс.</x:v>
      </x:c>
      <x:c r="D2" s="7" t="str">
        <x:v>Каждый предмет находится один раз за забег. Числа — стартовые гипотезы для прототипа, а не утверждённый баланс.</x:v>
      </x:c>
      <x:c r="E2" s="7" t="str">
        <x:v>Каждый предмет находится один раз за забег. Числа — стартовые гипотезы для прототипа, а не утверждённый баланс.</x:v>
      </x:c>
      <x:c r="F2" s="7" t="str">
        <x:v>Каждый предмет находится один раз за забег. Числа — стартовые гипотезы для прототипа, а не утверждённый баланс.</x:v>
      </x:c>
      <x:c r="G2" s="7" t="str">
        <x:v>Каждый предмет находится один раз за забег. Числа — стартовые гипотезы для прототипа, а не утверждённый баланс.</x:v>
      </x:c>
      <x:c r="H2" s="7" t="str">
        <x:v>Каждый предмет находится один раз за забег. Числа — стартовые гипотезы для прототипа, а не утверждённый баланс.</x:v>
      </x:c>
      <x:c r="I2" s="7" t="str">
        <x:v>Каждый предмет находится один раз за забег. Числа — стартовые гипотезы для прототипа, а не утверждённый баланс.</x:v>
      </x:c>
      <x:c r="J2" s="7" t="str">
        <x:v>Каждый предмет находится один раз за забег. Числа — стартовые гипотезы для прототипа, а не утверждённый баланс.</x:v>
      </x:c>
      <x:c r="K2" s="7" t="str">
        <x:v>Каждый предмет находится один раз за забег. Числа — стартовые гипотезы для прототипа, а не утверждённый баланс.</x:v>
      </x:c>
      <x:c r="L2" s="7" t="str">
        <x:v>Каждый предмет находится один раз за забег. Числа — стартовые гипотезы для прототипа, а не утверждённый баланс.</x:v>
      </x:c>
    </x:row>
    <x:row r="4" ht="38" customHeight="1">
      <x:c r="A4" s="26" t="str">
        <x:v>№</x:v>
      </x:c>
      <x:c r="B4" s="26" t="str">
        <x:v>Название</x:v>
      </x:c>
      <x:c r="C4" s="26" t="str">
        <x:v>English name</x:v>
      </x:c>
      <x:c r="D4" s="26" t="str">
        <x:v>Слот</x:v>
      </x:c>
      <x:c r="E4" s="26" t="str">
        <x:v>Класс</x:v>
      </x:c>
      <x:c r="F4" s="26" t="str">
        <x:v>Архетип</x:v>
      </x:c>
      <x:c r="G4" s="26" t="str">
        <x:v>Предлагаемый эффект</x:v>
      </x:c>
      <x:c r="H4" s="26" t="str">
        <x:v>Цена и ограничения</x:v>
      </x:c>
      <x:c r="I4" s="26" t="str">
        <x:v>Условие входа в пул</x:v>
      </x:c>
      <x:c r="J4" s="26" t="str">
        <x:v>Сложность</x:v>
      </x:c>
      <x:c r="K4" s="26" t="str">
        <x:v>Первый прототип</x:v>
      </x:c>
      <x:c r="L4" s="26" t="str">
        <x:v>Статус</x:v>
      </x:c>
    </x:row>
    <x:row r="5" ht="82" customHeight="1">
      <x:c r="A5" s="14" t="n">
        <x:v>1</x:v>
      </x:c>
      <x:c r="B5" s="12" t="str">
        <x:v>МАЯТНИК РАСПЛАТЫ</x:v>
      </x:c>
      <x:c r="C5" s="12" t="str">
        <x:v>PENDULUM OF RETRIBUTION</x:v>
      </x:c>
      <x:c r="D5" s="15" t="str">
        <x:v>Амулет</x:v>
      </x:c>
      <x:c r="E5" s="15" t="str">
        <x:v>Все</x:v>
      </x:c>
      <x:c r="F5" s="15" t="str">
        <x:v>Ответный урон</x:v>
      </x:c>
      <x:c r="G5" s="12" t="str">
        <x:v>Амулет запоминает 30% фактически потерянного HP; через 3 сек выпускает это число урона по врагам в радиусе 120.</x:v>
      </x:c>
      <x:c r="H5" s="12" t="str">
        <x:v>Заряд ограничен 20% max HP героя. Защита каждой цели применяется отдельно; исходящие множители и крит не применяются.</x:v>
      </x:c>
      <x:c r="I5" s="12" t="str">
        <x:v>Без условия</x:v>
      </x:c>
      <x:c r="J5" s="16" t="str">
        <x:v>Средняя</x:v>
      </x:c>
      <x:c r="K5" s="16" t="str">
        <x:v>Нет</x:v>
      </x:c>
      <x:c r="L5" s="16" t="str">
        <x:v>Концепт</x:v>
      </x:c>
    </x:row>
    <x:row r="6" ht="82" customHeight="1">
      <x:c r="A6" s="14" t="n">
        <x:v>2</x:v>
      </x:c>
      <x:c r="B6" s="12" t="str">
        <x:v>ПРИЗМА ЧЕТЫРЁХ ГРАНЕЙ</x:v>
      </x:c>
      <x:c r="C6" s="12" t="str">
        <x:v>PRISM OF FOUR FACETS</x:v>
      </x:c>
      <x:c r="D6" s="15" t="str">
        <x:v>Амулет</x:v>
      </x:c>
      <x:c r="E6" s="15" t="str">
        <x:v>Все</x:v>
      </x:c>
      <x:c r="F6" s="15" t="str">
        <x:v>Четыре статуса</x:v>
      </x:c>
      <x:c r="G6" s="12" t="str">
        <x:v>Если цель за 3 сек получила Поджог, Охлаждение, Яд и Шок, четвёртый эффект вызывает взрыв на 40% последнего фактически прошедшего прямого удара.</x:v>
      </x:c>
      <x:c r="H6" s="12" t="str">
        <x:v>Откат на цели 5 сек. Взрыв применяет защиту, не накладывает статусы и не запускает Призму снова.</x:v>
      </x:c>
      <x:c r="I6" s="12" t="str">
        <x:v>Нужны четыре соответствующих источника</x:v>
      </x:c>
      <x:c r="J6" s="16" t="str">
        <x:v>Высокая</x:v>
      </x:c>
      <x:c r="K6" s="16" t="str">
        <x:v>Нет</x:v>
      </x:c>
      <x:c r="L6" s="16" t="str">
        <x:v>Концепт</x:v>
      </x:c>
    </x:row>
    <x:row r="7" ht="82" customHeight="1">
      <x:c r="A7" s="14" t="n">
        <x:v>3</x:v>
      </x:c>
      <x:c r="B7" s="12" t="str">
        <x:v>ПЕЧАТЬ ПУСТОГО ТРОНА</x:v>
      </x:c>
      <x:c r="C7" s="12" t="str">
        <x:v>SEAL OF THE EMPTY THRONE</x:v>
      </x:c>
      <x:c r="D7" s="15" t="str">
        <x:v>Амулет</x:v>
      </x:c>
      <x:c r="E7" s="15" t="str">
        <x:v>Воин</x:v>
      </x:c>
      <x:c r="F7" s="15" t="str">
        <x:v>Достижение цели</x:v>
      </x:c>
      <x:c r="G7" s="12" t="str">
        <x:v>Если 0,8 сек рядом нет врага в радиусе обычного взмаха, следующий взмах получает +80 дальности и +35% урона.</x:v>
      </x:c>
      <x:c r="H7" s="12" t="str">
        <x:v>Герой не телепортируется. Внутренний откат 2 сек; круговая волна наследует только обычный исходный урон.</x:v>
      </x:c>
      <x:c r="I7" s="12" t="str">
        <x:v>Только Воин</x:v>
      </x:c>
      <x:c r="J7" s="16" t="str">
        <x:v>Средняя</x:v>
      </x:c>
      <x:c r="K7" s="16" t="str">
        <x:v>Нет</x:v>
      </x:c>
      <x:c r="L7" s="16" t="str">
        <x:v>Концепт</x:v>
      </x:c>
    </x:row>
    <x:row r="8" ht="82" customHeight="1">
      <x:c r="A8" s="14" t="n">
        <x:v>4</x:v>
      </x:c>
      <x:c r="B8" s="12" t="str">
        <x:v>ЧЕРЕПНОЙ МАЯК</x:v>
      </x:c>
      <x:c r="C8" s="12" t="str">
        <x:v>SKULL BEACON</x:v>
      </x:c>
      <x:c r="D8" s="15" t="str">
        <x:v>Амулет</x:v>
      </x:c>
      <x:c r="E8" s="15" t="str">
        <x:v>Некромант</x:v>
      </x:c>
      <x:c r="F8" s="15" t="str">
        <x:v>Фокус свиты</x:v>
      </x:c>
      <x:c r="G8" s="12" t="str">
        <x:v>Прямой удар героя помечает врага на 3 сек; свита приоритетно атакует его и наносит ему +30% урона.</x:v>
      </x:c>
      <x:c r="H8" s="12" t="str">
        <x:v>Одновременно одна метка. Новый удар переносит её; предметные удары и DoT метку не ставят.</x:v>
      </x:c>
      <x:c r="I8" s="12" t="str">
        <x:v>Только Некромант</x:v>
      </x:c>
      <x:c r="J8" s="16" t="str">
        <x:v>Средняя</x:v>
      </x:c>
      <x:c r="K8" s="16" t="str">
        <x:v>Да</x:v>
      </x:c>
      <x:c r="L8" s="16" t="str">
        <x:v>К прототипу</x:v>
      </x:c>
    </x:row>
    <x:row r="9" ht="82" customHeight="1">
      <x:c r="A9" s="14" t="n">
        <x:v>5</x:v>
      </x:c>
      <x:c r="B9" s="12" t="str">
        <x:v>РУКА ХИРУРГА</x:v>
      </x:c>
      <x:c r="C9" s="12" t="str">
        <x:v>SURGEON'S HAND</x:v>
      </x:c>
      <x:c r="D9" s="15" t="str">
        <x:v>Перчатки</x:v>
      </x:c>
      <x:c r="E9" s="15" t="str">
        <x:v>Все</x:v>
      </x:c>
      <x:c r="F9" s="15" t="str">
        <x:v>Снятие брони</x:v>
      </x:c>
      <x:c r="G9" s="12" t="str">
        <x:v>Последовательные прямые попадания по одной цели уменьшают её броню на 2% за удар, максимум на 20%.</x:v>
      </x:c>
      <x:c r="H9" s="12" t="str">
        <x:v>Стаки исчезают после 2 сек без прямого попадания. На боссах сила каждого стака вдвое меньше; предметный урон не копит стаки.</x:v>
      </x:c>
      <x:c r="I9" s="12" t="str">
        <x:v>Без условия</x:v>
      </x:c>
      <x:c r="J9" s="16" t="str">
        <x:v>Средняя</x:v>
      </x:c>
      <x:c r="K9" s="16" t="str">
        <x:v>Нет</x:v>
      </x:c>
      <x:c r="L9" s="16" t="str">
        <x:v>Концепт</x:v>
      </x:c>
    </x:row>
    <x:row r="10" ht="82" customHeight="1">
      <x:c r="A10" s="14" t="n">
        <x:v>6</x:v>
      </x:c>
      <x:c r="B10" s="12" t="str">
        <x:v>РУКА ЛАВИНЫ</x:v>
      </x:c>
      <x:c r="C10" s="12" t="str">
        <x:v>HAND OF THE AVALANCHE</x:v>
      </x:c>
      <x:c r="D10" s="15" t="str">
        <x:v>Перчатки</x:v>
      </x:c>
      <x:c r="E10" s="15" t="str">
        <x:v>Воин</x:v>
      </x:c>
      <x:c r="F10" s="15" t="str">
        <x:v>Массовый ближний бой</x:v>
      </x:c>
      <x:c r="G10" s="12" t="str">
        <x:v>Взмах, задевший минимум пять врагов, заряжает следующий взмах: после него проходит круговая волна на 35% среднего фактически нанесённого урона.</x:v>
      </x:c>
      <x:c r="H10" s="12" t="str">
        <x:v>Волна применяет защиту целей, не повреждает исходную выбранную цель повторно и не заряжает новую Лавину.</x:v>
      </x:c>
      <x:c r="I10" s="12" t="str">
        <x:v>Только Воин</x:v>
      </x:c>
      <x:c r="J10" s="16" t="str">
        <x:v>Средняя</x:v>
      </x:c>
      <x:c r="K10" s="16" t="str">
        <x:v>Нет</x:v>
      </x:c>
      <x:c r="L10" s="16" t="str">
        <x:v>Концепт</x:v>
      </x:c>
    </x:row>
    <x:row r="11" ht="82" customHeight="1">
      <x:c r="A11" s="14" t="n">
        <x:v>7</x:v>
      </x:c>
      <x:c r="B11" s="12" t="str">
        <x:v>ПЕРЧАТКИ ФАЗОВОГО ЛУЧНИКА</x:v>
      </x:c>
      <x:c r="C11" s="12" t="str">
        <x:v>PHASE ARCHER'S GLOVES</x:v>
      </x:c>
      <x:c r="D11" s="15" t="str">
        <x:v>Перчатки</x:v>
      </x:c>
      <x:c r="E11" s="15" t="str">
        <x:v>Лучник</x:v>
      </x:c>
      <x:c r="F11" s="15" t="str">
        <x:v>Изменение траектории</x:v>
      </x:c>
      <x:c r="G11" s="12" t="str">
        <x:v>Стрела проходит сквозь первую цель без урона и наносит второй +70% урона; если второй цели не было, она возвращается и бьёт первую на 70%.</x:v>
      </x:c>
      <x:c r="H11" s="12" t="str">
        <x:v>Возврат не рикошетит и не пробивает. Одна сохранённая первая цель на стрелу.</x:v>
      </x:c>
      <x:c r="I11" s="12" t="str">
        <x:v>Только Лучник</x:v>
      </x:c>
      <x:c r="J11" s="16" t="str">
        <x:v>Высокая</x:v>
      </x:c>
      <x:c r="K11" s="16" t="str">
        <x:v>Нет</x:v>
      </x:c>
      <x:c r="L11" s="16" t="str">
        <x:v>Концепт</x:v>
      </x:c>
    </x:row>
    <x:row r="12" ht="82" customHeight="1">
      <x:c r="A12" s="14" t="n">
        <x:v>8</x:v>
      </x:c>
      <x:c r="B12" s="12" t="str">
        <x:v>КИСТИ ЗВЕЗДОЧЁТА</x:v>
      </x:c>
      <x:c r="C12" s="12" t="str">
        <x:v>STARGAZER'S BRUSHES</x:v>
      </x:c>
      <x:c r="D12" s="15" t="str">
        <x:v>Перчатки</x:v>
      </x:c>
      <x:c r="E12" s="15" t="str">
        <x:v>Маг</x:v>
      </x:c>
      <x:c r="F12" s="15" t="str">
        <x:v>Сбор толпы</x:v>
      </x:c>
      <x:c r="G12" s="12" t="str">
        <x:v>Взрыв, задевший минимум пять врагов, заряжает следующую сферу: +30% радиуса и лёгкое притяжение к центру.</x:v>
      </x:c>
      <x:c r="H12" s="12" t="str">
        <x:v>Один заряд. Мини-сферы не заряжают эффект; притяжение не перемещает боссов.</x:v>
      </x:c>
      <x:c r="I12" s="12" t="str">
        <x:v>Только Маг</x:v>
      </x:c>
      <x:c r="J12" s="16" t="str">
        <x:v>Средняя</x:v>
      </x:c>
      <x:c r="K12" s="16" t="str">
        <x:v>Нет</x:v>
      </x:c>
      <x:c r="L12" s="16" t="str">
        <x:v>Концепт</x:v>
      </x:c>
    </x:row>
    <x:row r="13" ht="82" customHeight="1">
      <x:c r="A13" s="14" t="n">
        <x:v>9</x:v>
      </x:c>
      <x:c r="B13" s="12" t="str">
        <x:v>САПОГИ МЕЖДУ МИРАМИ</x:v>
      </x:c>
      <x:c r="C13" s="12" t="str">
        <x:v>BOOTS BETWEEN WORLDS</x:v>
      </x:c>
      <x:c r="D13" s="15" t="str">
        <x:v>Ботинки</x:v>
      </x:c>
      <x:c r="E13" s="15" t="str">
        <x:v>Все</x:v>
      </x:c>
      <x:c r="F13" s="15" t="str">
        <x:v>Ложная цель</x:v>
      </x:c>
      <x:c r="G13" s="12" t="str">
        <x:v>Рывок оставляет на 1,2 сек неподвижную тень; ближайшие обычные враги временно выбирают её целью.</x:v>
      </x:c>
      <x:c r="H13" s="12" t="str">
        <x:v>Тень не имеет HP и не взрывается. Внутренний откат 3 сек; элиты получают половину длительности, боссы игнорируют.</x:v>
      </x:c>
      <x:c r="I13" s="12" t="str">
        <x:v>Без условия</x:v>
      </x:c>
      <x:c r="J13" s="16" t="str">
        <x:v>Высокая</x:v>
      </x:c>
      <x:c r="K13" s="16" t="str">
        <x:v>Нет</x:v>
      </x:c>
      <x:c r="L13" s="16" t="str">
        <x:v>Концепт</x:v>
      </x:c>
    </x:row>
    <x:row r="14" ht="82" customHeight="1">
      <x:c r="A14" s="14" t="n">
        <x:v>10</x:v>
      </x:c>
      <x:c r="B14" s="12" t="str">
        <x:v>КРОВАВЫЕ СЛЕДЫ</x:v>
      </x:c>
      <x:c r="C14" s="12" t="str">
        <x:v>BLOOD TRACKS</x:v>
      </x:c>
      <x:c r="D14" s="15" t="str">
        <x:v>Ботинки</x:v>
      </x:c>
      <x:c r="E14" s="15" t="str">
        <x:v>Все</x:v>
      </x:c>
      <x:c r="F14" s="15" t="str">
        <x:v>Аварийное лечение</x:v>
      </x:c>
      <x:c r="G14" s="12" t="str">
        <x:v>Ниже 35% HP движение оставляет след; находясь на собственном следе, герой восстанавливает 1% max HP в секунду.</x:v>
      </x:c>
      <x:c r="H14" s="12" t="str">
        <x:v>След живёт 4 сек. После первой секунды лечения предмет уходит в откат на 10 сек; выше 35% след не создаётся.</x:v>
      </x:c>
      <x:c r="I14" s="12" t="str">
        <x:v>Без условия</x:v>
      </x:c>
      <x:c r="J14" s="16" t="str">
        <x:v>Средняя</x:v>
      </x:c>
      <x:c r="K14" s="16" t="str">
        <x:v>Нет</x:v>
      </x:c>
      <x:c r="L14" s="16" t="str">
        <x:v>Концепт</x:v>
      </x:c>
    </x:row>
    <x:row r="15" ht="82" customHeight="1">
      <x:c r="A15" s="14" t="n">
        <x:v>11</x:v>
      </x:c>
      <x:c r="B15" s="12" t="str">
        <x:v>ШАГИ МЕТРОНОМА</x:v>
      </x:c>
      <x:c r="C15" s="12" t="str">
        <x:v>METRONOME STEPS</x:v>
      </x:c>
      <x:c r="D15" s="15" t="str">
        <x:v>Ботинки</x:v>
      </x:c>
      <x:c r="E15" s="15" t="str">
        <x:v>Все</x:v>
      </x:c>
      <x:c r="F15" s="15" t="str">
        <x:v>Серия рывков</x:v>
      </x:c>
      <x:c r="G15" s="12" t="str">
        <x:v>Каждый третий рывок, выполненный в пределах 3 сек от первого, не расходует заряд.</x:v>
      </x:c>
      <x:c r="H15" s="12" t="str">
        <x:v>Бесплатный рывок имеет половину дистанции и не даёт неуязвимость. После него внутренний откат 8 сек.</x:v>
      </x:c>
      <x:c r="I15" s="12" t="str">
        <x:v>Без условия</x:v>
      </x:c>
      <x:c r="J15" s="16" t="str">
        <x:v>Средняя</x:v>
      </x:c>
      <x:c r="K15" s="16" t="str">
        <x:v>Нет</x:v>
      </x:c>
      <x:c r="L15" s="16" t="str">
        <x:v>Концепт</x:v>
      </x:c>
    </x:row>
    <x:row r="16" ht="82" customHeight="1">
      <x:c r="A16" s="14" t="n">
        <x:v>12</x:v>
      </x:c>
      <x:c r="B16" s="12" t="str">
        <x:v>САПОГИ ОБРАТНОЙ ВОЛНЫ</x:v>
      </x:c>
      <x:c r="C16" s="12" t="str">
        <x:v>BOOTS OF THE BACKWAVE</x:v>
      </x:c>
      <x:c r="D16" s="15" t="str">
        <x:v>Ботинки</x:v>
      </x:c>
      <x:c r="E16" s="15" t="str">
        <x:v>Все</x:v>
      </x:c>
      <x:c r="F16" s="15" t="str">
        <x:v>Против отбрасывания</x:v>
      </x:c>
      <x:c r="G16" s="12" t="str">
        <x:v>Сильное входящее отбрасывание отменяет лишнее смещение и восстанавливает 25% заряда рывка.</x:v>
      </x:c>
      <x:c r="H16" s="12" t="str">
        <x:v>Урон проходит полностью. Внутренний откат 6 сек; обычные слабые толчки не срабатывают.</x:v>
      </x:c>
      <x:c r="I16" s="12" t="str">
        <x:v>Без условия</x:v>
      </x:c>
      <x:c r="J16" s="16" t="str">
        <x:v>Средняя</x:v>
      </x:c>
      <x:c r="K16" s="16" t="str">
        <x:v>Нет</x:v>
      </x:c>
      <x:c r="L16" s="16" t="str">
        <x:v>Концепт</x:v>
      </x:c>
    </x:row>
    <x:row r="17" ht="82" customHeight="1">
      <x:c r="A17" s="14" t="n">
        <x:v>13</x:v>
      </x:c>
      <x:c r="B17" s="12" t="str">
        <x:v>КОЛЬЦО ДРОБНЫХ СЕКУНД</x:v>
      </x:c>
      <x:c r="C17" s="12" t="str">
        <x:v>RING OF FRACTIONAL SECONDS</x:v>
      </x:c>
      <x:c r="D17" s="15" t="str">
        <x:v>Кольцо</x:v>
      </x:c>
      <x:c r="E17" s="15" t="str">
        <x:v>Все</x:v>
      </x:c>
      <x:c r="F17" s="15" t="str">
        <x:v>Предел скорости</x:v>
      </x:c>
      <x:c r="G17" s="12" t="str">
        <x:v>Бонус скорости атаки выше +50% больше не ускоряет атаки; половина избытка превращается в ускорение восстановления боевых откатов предметов.</x:v>
      </x:c>
      <x:c r="H17" s="12" t="str">
        <x:v>Пример: +90% становится +50% к атаке и +20% к восстановлению предметов. Не влияет на рывок и находки.</x:v>
      </x:c>
      <x:c r="I17" s="12" t="str">
        <x:v>Нужен предмет с боевым откатом</x:v>
      </x:c>
      <x:c r="J17" s="16" t="str">
        <x:v>Высокая</x:v>
      </x:c>
      <x:c r="K17" s="16" t="str">
        <x:v>Нет</x:v>
      </x:c>
      <x:c r="L17" s="16" t="str">
        <x:v>Концепт</x:v>
      </x:c>
    </x:row>
    <x:row r="18" ht="82" customHeight="1">
      <x:c r="A18" s="14" t="n">
        <x:v>14</x:v>
      </x:c>
      <x:c r="B18" s="12" t="str">
        <x:v>КОЛЬЦО ДВУХ ГОРИЗОНТОВ</x:v>
      </x:c>
      <x:c r="C18" s="12" t="str">
        <x:v>RING OF TWO HORIZONS</x:v>
      </x:c>
      <x:c r="D18" s="15" t="str">
        <x:v>Кольцо</x:v>
      </x:c>
      <x:c r="E18" s="15" t="str">
        <x:v>Все</x:v>
      </x:c>
      <x:c r="F18" s="15" t="str">
        <x:v>Дальняя вторая цель</x:v>
      </x:c>
      <x:c r="G18" s="12" t="str">
        <x:v>Каждый пятый прямой удар дополнительно наносит 30% фактически прошедшего урона самому дальнему другому врагу в радиусе 500.</x:v>
      </x:c>
      <x:c r="H18" s="12" t="str">
        <x:v>Вторая цель применяет защиту. Удар не критует, не накладывает книги и не запускает другие предметы.</x:v>
      </x:c>
      <x:c r="I18" s="12" t="str">
        <x:v>Без условия</x:v>
      </x:c>
      <x:c r="J18" s="16" t="str">
        <x:v>Средняя</x:v>
      </x:c>
      <x:c r="K18" s="16" t="str">
        <x:v>Нет</x:v>
      </x:c>
      <x:c r="L18" s="16" t="str">
        <x:v>Концепт</x:v>
      </x:c>
    </x:row>
    <x:row r="19" ht="82" customHeight="1">
      <x:c r="A19" s="14" t="n">
        <x:v>15</x:v>
      </x:c>
      <x:c r="B19" s="12" t="str">
        <x:v>КОЛЬЦО НЕЗАЖИВШЕЙ РАНЫ</x:v>
      </x:c>
      <x:c r="C19" s="12" t="str">
        <x:v>RING OF THE UNHEALED WOUND</x:v>
      </x:c>
      <x:c r="D19" s="15" t="str">
        <x:v>Кольцо</x:v>
      </x:c>
      <x:c r="E19" s="15" t="str">
        <x:v>Все</x:v>
      </x:c>
      <x:c r="F19" s="15" t="str">
        <x:v>Продление DoT</x:v>
      </x:c>
      <x:c r="G19" s="12" t="str">
        <x:v>Прямой удар продлевает один самый близкий к завершению наносящий урон статус цели на 1 сек.</x:v>
      </x:c>
      <x:c r="H19" s="12" t="str">
        <x:v>На цели откат 2 сек. Нельзя превысить исходную длительность статуса больше чем на 2 сек; сила тиков не пересчитывается.</x:v>
      </x:c>
      <x:c r="I19" s="12" t="str">
        <x:v>Нужен Поджог, Яд или Кровотечение</x:v>
      </x:c>
      <x:c r="J19" s="16" t="str">
        <x:v>Средняя</x:v>
      </x:c>
      <x:c r="K19" s="16" t="str">
        <x:v>Нет</x:v>
      </x:c>
      <x:c r="L19" s="16" t="str">
        <x:v>Концепт</x:v>
      </x:c>
    </x:row>
    <x:row r="20" ht="82" customHeight="1">
      <x:c r="A20" s="14" t="n">
        <x:v>16</x:v>
      </x:c>
      <x:c r="B20" s="12" t="str">
        <x:v>КОЛЬЦО ХРАНИТЕЛЯ</x:v>
      </x:c>
      <x:c r="C20" s="12" t="str">
        <x:v>GUARDIAN'S RING</x:v>
      </x:c>
      <x:c r="D20" s="15" t="str">
        <x:v>Кольцо</x:v>
      </x:c>
      <x:c r="E20" s="15" t="str">
        <x:v>Все</x:v>
      </x:c>
      <x:c r="F20" s="15" t="str">
        <x:v>Барьер</x:v>
      </x:c>
      <x:c r="G20" s="12" t="str">
        <x:v>Если временный барьер истёк неповреждённым, герой лечится на половину его остатка и слегка расталкивает соседей.</x:v>
      </x:c>
      <x:c r="H20" s="12" t="str">
        <x:v>Если барьер потерял хотя бы единицу, эффекта нет. Расталкивание не наносит урон и не действует на боссов.</x:v>
      </x:c>
      <x:c r="I20" s="12" t="str">
        <x:v>Нужен источник временного барьера</x:v>
      </x:c>
      <x:c r="J20" s="16" t="str">
        <x:v>Средняя</x:v>
      </x:c>
      <x:c r="K20" s="16" t="str">
        <x:v>Нет</x:v>
      </x:c>
      <x:c r="L20" s="16" t="str">
        <x:v>Концепт</x:v>
      </x:c>
    </x:row>
    <x:row r="21" ht="82" customHeight="1">
      <x:c r="A21" s="14" t="n">
        <x:v>17</x:v>
      </x:c>
      <x:c r="B21" s="12" t="str">
        <x:v>ЧАСЫ МЁРТВОГО БОГА</x:v>
      </x:c>
      <x:c r="C21" s="12" t="str">
        <x:v>CLOCK OF THE DEAD GOD</x:v>
      </x:c>
      <x:c r="D21" s="15" t="str">
        <x:v>Реликвия</x:v>
      </x:c>
      <x:c r="E21" s="15" t="str">
        <x:v>Все</x:v>
      </x:c>
      <x:c r="F21" s="15" t="str">
        <x:v>Отмотка состояния</x:v>
      </x:c>
      <x:c r="G21" s="12" t="str">
        <x:v>Если герой теряет не меньше 30% max HP за 2 сек, его позиция и текущее HP возвращаются к состоянию двухсекундной давности.</x:v>
      </x:c>
      <x:c r="H21" s="12" t="str">
        <x:v>Откат 45 сек. Не воскресает после уже обработанной смерти и не возвращает потраченные предметы, заряды или убитых врагов.</x:v>
      </x:c>
      <x:c r="I21" s="12" t="str">
        <x:v>Без условия</x:v>
      </x:c>
      <x:c r="J21" s="16" t="str">
        <x:v>Высокая</x:v>
      </x:c>
      <x:c r="K21" s="16" t="str">
        <x:v>Нет</x:v>
      </x:c>
      <x:c r="L21" s="16" t="str">
        <x:v>Концепт</x:v>
      </x:c>
    </x:row>
    <x:row r="22" ht="82" customHeight="1">
      <x:c r="A22" s="14" t="n">
        <x:v>18</x:v>
      </x:c>
      <x:c r="B22" s="12" t="str">
        <x:v>МАЯК БЕЗДНЫ</x:v>
      </x:c>
      <x:c r="C22" s="12" t="str">
        <x:v>VOID BEACON</x:v>
      </x:c>
      <x:c r="D22" s="15" t="str">
        <x:v>Реликвия</x:v>
      </x:c>
      <x:c r="E22" s="15" t="str">
        <x:v>Все</x:v>
      </x:c>
      <x:c r="F22" s="15" t="str">
        <x:v>Передача статусов</x:v>
      </x:c>
      <x:c r="G22" s="12" t="str">
        <x:v>В начале пачки один враг становится носителем; при смерти его оставшиеся негативные эффекты копируются на трёх ближайших противников.</x:v>
      </x:c>
      <x:c r="H22" s="12" t="str">
        <x:v>Копии получают 60% оставшейся длительности и урона. Они не могут передать эффекты дальше; боссы не становятся носителями.</x:v>
      </x:c>
      <x:c r="I22" s="12" t="str">
        <x:v>Без условия</x:v>
      </x:c>
      <x:c r="J22" s="16" t="str">
        <x:v>Высокая</x:v>
      </x:c>
      <x:c r="K22" s="16" t="str">
        <x:v>Нет</x:v>
      </x:c>
      <x:c r="L22" s="16" t="str">
        <x:v>Концепт</x:v>
      </x:c>
    </x:row>
    <x:row r="23" ht="82" customHeight="1">
      <x:c r="A23" s="14" t="n">
        <x:v>19</x:v>
      </x:c>
      <x:c r="B23" s="12" t="str">
        <x:v>КОТЁЛ ПЕРЕДЕЛА</x:v>
      </x:c>
      <x:c r="C23" s="12" t="str">
        <x:v>CAULDRON OF REMAKING</x:v>
      </x:c>
      <x:c r="D23" s="15" t="str">
        <x:v>Реликвия</x:v>
      </x:c>
      <x:c r="E23" s="15" t="str">
        <x:v>Все</x:v>
      </x:c>
      <x:c r="F23" s="15" t="str">
        <x:v>Переброс предмета</x:v>
      </x:c>
      <x:c r="G23" s="12" t="str">
        <x:v>Первую показанную на каждом этаже находку-предмет можно один раз заменить случайным предметом той же редкости.</x:v>
      </x:c>
      <x:c r="H23" s="12" t="str">
        <x:v>Исходный вариант после переброса недоступен. Книги и тотемы не меняются; при пустом пуле кнопка скрыта.</x:v>
      </x:c>
      <x:c r="I23" s="12" t="str">
        <x:v>Без условия</x:v>
      </x:c>
      <x:c r="J23" s="16" t="str">
        <x:v>Высокая</x:v>
      </x:c>
      <x:c r="K23" s="16" t="str">
        <x:v>Нет</x:v>
      </x:c>
      <x:c r="L23" s="16" t="str">
        <x:v>Концепт</x:v>
      </x:c>
    </x:row>
    <x:row r="24" ht="82" customHeight="1">
      <x:c r="A24" s="14" t="n">
        <x:v>20</x:v>
      </x:c>
      <x:c r="B24" s="12" t="str">
        <x:v>РЕЗОНАТОР НАХОДОК</x:v>
      </x:c>
      <x:c r="C24" s="12" t="str">
        <x:v>RELIC RESONATOR</x:v>
      </x:c>
      <x:c r="D24" s="15" t="str">
        <x:v>Реликвия</x:v>
      </x:c>
      <x:c r="E24" s="15" t="str">
        <x:v>Все</x:v>
      </x:c>
      <x:c r="F24" s="15" t="str">
        <x:v>Связка предметов</x:v>
      </x:c>
      <x:c r="G24" s="12" t="str">
        <x:v>Срабатывания трёх разных активных предметов за 4 сек дают +25% ко всему урону на 4 сек.</x:v>
      </x:c>
      <x:c r="H24" s="12" t="str">
        <x:v>Пассивные предметы и повтор одного id не считаются. Бафф обновляет длительность, но не складывается.</x:v>
      </x:c>
      <x:c r="I24" s="12" t="str">
        <x:v>Нужны три предмета с активными триггерами</x:v>
      </x:c>
      <x:c r="J24" s="16" t="str">
        <x:v>Средняя</x:v>
      </x:c>
      <x:c r="K24" s="16" t="str">
        <x:v>Нет</x:v>
      </x:c>
      <x:c r="L24" s="16" t="str">
        <x:v>Концепт</x:v>
      </x:c>
    </x:row>
  </x:sheetData>
  <x:mergeCells>
    <x:mergeCell ref="A1:L1"/>
    <x:mergeCell ref="A2:L2"/>
  </x:mergeCells>
  <x:conditionalFormatting sqref="J5:J24">
    <x:cfRule type="containsText" dxfId="6" priority="1" operator="containsText" text="Высокая"/>
  </x:conditionalFormatting>
  <x:conditionalFormatting sqref="K5:K24">
    <x:cfRule type="containsText" dxfId="7" priority="2" operator="containsText" text="Да"/>
  </x:conditionalFormatting>
  <x:conditionalFormatting sqref="L5:L24">
    <x:cfRule type="containsText" dxfId="8" priority="3" operator="containsText" text="К прототипу"/>
  </x:conditionalFormatting>
  <x:dataValidations count="1">
    <x:dataValidation type="list" sqref="L5:L24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58f3af45d644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7" hidden="0" customWidth="1"/>
    <x:col min="4" max="4" width="14" hidden="0" customWidth="1"/>
    <x:col min="5" max="5" width="18" hidden="0" customWidth="1"/>
    <x:col min="6" max="6" width="20" hidden="0" customWidth="1"/>
    <x:col min="7" max="7" width="54" hidden="0" customWidth="1"/>
    <x:col min="8" max="8" width="54" hidden="0" customWidth="1"/>
    <x:col min="9" max="9" width="30" hidden="0" customWidth="1"/>
    <x:col min="10" max="10" width="13" hidden="0" customWidth="1"/>
    <x:col min="11" max="11" width="17" hidden="0" customWidth="1"/>
    <x:col min="12" max="12" width="16" hidden="0" customWidth="1"/>
  </x:cols>
  <x:sheetData>
    <x:row r="1" ht="30" customHeight="1">
      <x:c r="A1" s="29" t="str">
        <x:v>Легендарная редкость — 12 новых предметов</x:v>
      </x:c>
      <x:c r="B1" s="29" t="str">
        <x:v>Легендарная редкость — 12 новых предметов</x:v>
      </x:c>
      <x:c r="C1" s="29" t="str">
        <x:v>Легендарная редкость — 12 новых предметов</x:v>
      </x:c>
      <x:c r="D1" s="29" t="str">
        <x:v>Легендарная редкость — 12 новых предметов</x:v>
      </x:c>
      <x:c r="E1" s="29" t="str">
        <x:v>Легендарная редкость — 12 новых предметов</x:v>
      </x:c>
      <x:c r="F1" s="29" t="str">
        <x:v>Легендарная редкость — 12 новых предметов</x:v>
      </x:c>
      <x:c r="G1" s="29" t="str">
        <x:v>Легендарная редкость — 12 новых предметов</x:v>
      </x:c>
      <x:c r="H1" s="29" t="str">
        <x:v>Легендарная редкость — 12 новых предметов</x:v>
      </x:c>
      <x:c r="I1" s="29" t="str">
        <x:v>Легендарная редкость — 12 новых предметов</x:v>
      </x:c>
      <x:c r="J1" s="29" t="str">
        <x:v>Легендарная редкость — 12 новых предметов</x:v>
      </x:c>
      <x:c r="K1" s="29" t="str">
        <x:v>Легендарная редкость — 12 новых предметов</x:v>
      </x:c>
      <x:c r="L1" s="29" t="str">
        <x:v>Легендарная редкость — 12 новых предметов</x:v>
      </x:c>
    </x:row>
    <x:row r="2" ht="34" customHeight="1">
      <x:c r="A2" s="7" t="str">
        <x:v>Каждый предмет находится один раз за забег. Числа — стартовые гипотезы для прототипа, а не утверждённый баланс.</x:v>
      </x:c>
      <x:c r="B2" s="7" t="str">
        <x:v>Каждый предмет находится один раз за забег. Числа — стартовые гипотезы для прототипа, а не утверждённый баланс.</x:v>
      </x:c>
      <x:c r="C2" s="7" t="str">
        <x:v>Каждый предмет находится один раз за забег. Числа — стартовые гипотезы для прототипа, а не утверждённый баланс.</x:v>
      </x:c>
      <x:c r="D2" s="7" t="str">
        <x:v>Каждый предмет находится один раз за забег. Числа — стартовые гипотезы для прототипа, а не утверждённый баланс.</x:v>
      </x:c>
      <x:c r="E2" s="7" t="str">
        <x:v>Каждый предмет находится один раз за забег. Числа — стартовые гипотезы для прототипа, а не утверждённый баланс.</x:v>
      </x:c>
      <x:c r="F2" s="7" t="str">
        <x:v>Каждый предмет находится один раз за забег. Числа — стартовые гипотезы для прототипа, а не утверждённый баланс.</x:v>
      </x:c>
      <x:c r="G2" s="7" t="str">
        <x:v>Каждый предмет находится один раз за забег. Числа — стартовые гипотезы для прототипа, а не утверждённый баланс.</x:v>
      </x:c>
      <x:c r="H2" s="7" t="str">
        <x:v>Каждый предмет находится один раз за забег. Числа — стартовые гипотезы для прототипа, а не утверждённый баланс.</x:v>
      </x:c>
      <x:c r="I2" s="7" t="str">
        <x:v>Каждый предмет находится один раз за забег. Числа — стартовые гипотезы для прототипа, а не утверждённый баланс.</x:v>
      </x:c>
      <x:c r="J2" s="7" t="str">
        <x:v>Каждый предмет находится один раз за забег. Числа — стартовые гипотезы для прототипа, а не утверждённый баланс.</x:v>
      </x:c>
      <x:c r="K2" s="7" t="str">
        <x:v>Каждый предмет находится один раз за забег. Числа — стартовые гипотезы для прототипа, а не утверждённый баланс.</x:v>
      </x:c>
      <x:c r="L2" s="7" t="str">
        <x:v>Каждый предмет находится один раз за забег. Числа — стартовые гипотезы для прототипа, а не утверждённый баланс.</x:v>
      </x:c>
    </x:row>
    <x:row r="4" ht="38" customHeight="1">
      <x:c r="A4" s="31" t="str">
        <x:v>№</x:v>
      </x:c>
      <x:c r="B4" s="31" t="str">
        <x:v>Название</x:v>
      </x:c>
      <x:c r="C4" s="31" t="str">
        <x:v>English name</x:v>
      </x:c>
      <x:c r="D4" s="31" t="str">
        <x:v>Слот</x:v>
      </x:c>
      <x:c r="E4" s="31" t="str">
        <x:v>Класс</x:v>
      </x:c>
      <x:c r="F4" s="31" t="str">
        <x:v>Архетип</x:v>
      </x:c>
      <x:c r="G4" s="31" t="str">
        <x:v>Предлагаемый эффект</x:v>
      </x:c>
      <x:c r="H4" s="31" t="str">
        <x:v>Цена и ограничения</x:v>
      </x:c>
      <x:c r="I4" s="31" t="str">
        <x:v>Условие входа в пул</x:v>
      </x:c>
      <x:c r="J4" s="31" t="str">
        <x:v>Сложность</x:v>
      </x:c>
      <x:c r="K4" s="31" t="str">
        <x:v>Первый прототип</x:v>
      </x:c>
      <x:c r="L4" s="31" t="str">
        <x:v>Статус</x:v>
      </x:c>
    </x:row>
    <x:row r="5" ht="82" customHeight="1">
      <x:c r="A5" s="14" t="n">
        <x:v>1</x:v>
      </x:c>
      <x:c r="B5" s="12" t="str">
        <x:v>СЕРДЦЕ СЕКУНДЫ</x:v>
      </x:c>
      <x:c r="C5" s="12" t="str">
        <x:v>HEART OF THE SECOND</x:v>
      </x:c>
      <x:c r="D5" s="15" t="str">
        <x:v>Амулет</x:v>
      </x:c>
      <x:c r="E5" s="15" t="str">
        <x:v>Все</x:v>
      </x:c>
      <x:c r="F5" s="15" t="str">
        <x:v>Накопление в стойке</x:v>
      </x:c>
      <x:c r="G5" s="12" t="str">
        <x:v>Каждая секунда без движения даёт +10% скорости атаки, максимум +100%; движение отнимает 25% заряда в секунду.</x:v>
      </x:c>
      <x:c r="H5" s="12" t="str">
        <x:v>Пока есть заряд, скорость бега снижена на 15%. Рывок полностью очищает заряд.</x:v>
      </x:c>
      <x:c r="I5" s="12" t="str">
        <x:v>Без условия</x:v>
      </x:c>
      <x:c r="J5" s="16" t="str">
        <x:v>Средняя</x:v>
      </x:c>
      <x:c r="K5" s="16" t="str">
        <x:v>Нет</x:v>
      </x:c>
      <x:c r="L5" s="16" t="str">
        <x:v>Концепт</x:v>
      </x:c>
    </x:row>
    <x:row r="6" ht="82" customHeight="1">
      <x:c r="A6" s="14" t="n">
        <x:v>2</x:v>
      </x:c>
      <x:c r="B6" s="12" t="str">
        <x:v>ПУСТАЯ ДУША</x:v>
      </x:c>
      <x:c r="C6" s="12" t="str">
        <x:v>HOLLOW SOUL</x:v>
      </x:c>
      <x:c r="D6" s="15" t="str">
        <x:v>Амулет</x:v>
      </x:c>
      <x:c r="E6" s="15" t="str">
        <x:v>Все</x:v>
      </x:c>
      <x:c r="F6" s="15" t="str">
        <x:v>Запрет лечения</x:v>
      </x:c>
      <x:c r="G6" s="12" t="str">
        <x:v>Лечение героя отключено; реально предотвращённое восстановление заряжает следующий прямой удар дополнительным уроном в том же размере.</x:v>
      </x:c>
      <x:c r="H6" s="12" t="str">
        <x:v>Заряд ограничен 30% max HP, не учитывает перелечение, применяет защиту цели и не масштабируется исходящими множителями.</x:v>
      </x:c>
      <x:c r="I6" s="12" t="str">
        <x:v>Нужен источник лечения</x:v>
      </x:c>
      <x:c r="J6" s="16" t="str">
        <x:v>Высокая</x:v>
      </x:c>
      <x:c r="K6" s="16" t="str">
        <x:v>Нет</x:v>
      </x:c>
      <x:c r="L6" s="16" t="str">
        <x:v>Концепт</x:v>
      </x:c>
    </x:row>
    <x:row r="7" ht="82" customHeight="1">
      <x:c r="A7" s="14" t="n">
        <x:v>3</x:v>
      </x:c>
      <x:c r="B7" s="12" t="str">
        <x:v>РУКИ ТИТАНА</x:v>
      </x:c>
      <x:c r="C7" s="12" t="str">
        <x:v>TITAN'S HANDS</x:v>
      </x:c>
      <x:c r="D7" s="15" t="str">
        <x:v>Перчатки</x:v>
      </x:c>
      <x:c r="E7" s="15" t="str">
        <x:v>Воин</x:v>
      </x:c>
      <x:c r="F7" s="15" t="str">
        <x:v>Тяжёлые волны</x:v>
      </x:c>
      <x:c r="G7" s="12" t="str">
        <x:v>Скорость ближней атаки уменьшается на 35%, но каждый взмах выпускает волну на 60% фактически прошедшего урона основной цели.</x:v>
      </x:c>
      <x:c r="H7" s="12" t="str">
        <x:v>Основная цель исключается из волны. Каждая соседняя цель применяет защиту; волна не критует и не создаёт новую волну.</x:v>
      </x:c>
      <x:c r="I7" s="12" t="str">
        <x:v>Только Воин</x:v>
      </x:c>
      <x:c r="J7" s="16" t="str">
        <x:v>Средняя</x:v>
      </x:c>
      <x:c r="K7" s="16" t="str">
        <x:v>Да</x:v>
      </x:c>
      <x:c r="L7" s="16" t="str">
        <x:v>К прототипу</x:v>
      </x:c>
    </x:row>
    <x:row r="8" ht="82" customHeight="1">
      <x:c r="A8" s="14" t="n">
        <x:v>4</x:v>
      </x:c>
      <x:c r="B8" s="12" t="str">
        <x:v>ПЕРЧАТКИ БЕСКОНЕЧНОЙ ДУГИ</x:v>
      </x:c>
      <x:c r="C8" s="12" t="str">
        <x:v>GLOVES OF THE ENDLESS ARC</x:v>
      </x:c>
      <x:c r="D8" s="15" t="str">
        <x:v>Перчатки</x:v>
      </x:c>
      <x:c r="E8" s="15" t="str">
        <x:v>Лучник</x:v>
      </x:c>
      <x:c r="F8" s="15" t="str">
        <x:v>Возврат стрел</x:v>
      </x:c>
      <x:c r="G8" s="12" t="str">
        <x:v>Все обычные стрелы после завершения пути один раз возвращаются к герою и наносят 45% урона.</x:v>
      </x:c>
      <x:c r="H8" s="12" t="str">
        <x:v>Исходящий урон стрел снижен на 20%. Возврат не пробивает, не рикошетит и не возвращается повторно; одну цель бьёт не более раза на каждом пути.</x:v>
      </x:c>
      <x:c r="I8" s="12" t="str">
        <x:v>Только Лучник</x:v>
      </x:c>
      <x:c r="J8" s="16" t="str">
        <x:v>Высокая</x:v>
      </x:c>
      <x:c r="K8" s="16" t="str">
        <x:v>Нет</x:v>
      </x:c>
      <x:c r="L8" s="16" t="str">
        <x:v>Концепт</x:v>
      </x:c>
    </x:row>
    <x:row r="9" ht="82" customHeight="1">
      <x:c r="A9" s="14" t="n">
        <x:v>5</x:v>
      </x:c>
      <x:c r="B9" s="12" t="str">
        <x:v>ШАГ ЗА ГРАНЬ</x:v>
      </x:c>
      <x:c r="C9" s="12" t="str">
        <x:v>STEP BEYOND</x:v>
      </x:c>
      <x:c r="D9" s="15" t="str">
        <x:v>Ботинки</x:v>
      </x:c>
      <x:c r="E9" s="15" t="str">
        <x:v>Все</x:v>
      </x:c>
      <x:c r="F9" s="15" t="str">
        <x:v>Эхо после рывка</x:v>
      </x:c>
      <x:c r="G9" s="12" t="str">
        <x:v>После рывка следующая обычная атака повторяется через 0,2 сек с силой 45%.</x:v>
      </x:c>
      <x:c r="H9" s="12" t="str">
        <x:v>Восстановление зарядов рывка на 50% медленнее. Эхо не критует, не накладывает статусы и не запускает предметы или другое эхо.</x:v>
      </x:c>
      <x:c r="I9" s="12" t="str">
        <x:v>Без условия</x:v>
      </x:c>
      <x:c r="J9" s="16" t="str">
        <x:v>Высокая</x:v>
      </x:c>
      <x:c r="K9" s="16" t="str">
        <x:v>Нет</x:v>
      </x:c>
      <x:c r="L9" s="16" t="str">
        <x:v>Концепт</x:v>
      </x:c>
    </x:row>
    <x:row r="10" ht="82" customHeight="1">
      <x:c r="A10" s="14" t="n">
        <x:v>6</x:v>
      </x:c>
      <x:c r="B10" s="12" t="str">
        <x:v>МАРШ МЁРТВЫХ</x:v>
      </x:c>
      <x:c r="C10" s="12" t="str">
        <x:v>MARCH OF THE DEAD</x:v>
      </x:c>
      <x:c r="D10" s="15" t="str">
        <x:v>Ботинки</x:v>
      </x:c>
      <x:c r="E10" s="15" t="str">
        <x:v>Некромант</x:v>
      </x:c>
      <x:c r="F10" s="15" t="str">
        <x:v>Мобильная армия</x:v>
      </x:c>
      <x:c r="G10" s="12" t="str">
        <x:v>Скорость героя снижена на 20%, но свита получает +80% скорости движения, не может быть замедлена и воскрешается на 20% быстрее.</x:v>
      </x:c>
      <x:c r="H10" s="12" t="str">
        <x:v>Не снимает оглушение и не ускоряет атаки. Бонус существует только пока предмет найден в текущем забеге.</x:v>
      </x:c>
      <x:c r="I10" s="12" t="str">
        <x:v>Только Некромант</x:v>
      </x:c>
      <x:c r="J10" s="16" t="str">
        <x:v>Средняя</x:v>
      </x:c>
      <x:c r="K10" s="16" t="str">
        <x:v>Нет</x:v>
      </x:c>
      <x:c r="L10" s="16" t="str">
        <x:v>Концепт</x:v>
      </x:c>
    </x:row>
    <x:row r="11" ht="82" customHeight="1">
      <x:c r="A11" s="14" t="n">
        <x:v>7</x:v>
      </x:c>
      <x:c r="B11" s="12" t="str">
        <x:v>КОЛЬЦО НУЛЕВОЙ ДИСТАНЦИИ</x:v>
      </x:c>
      <x:c r="C11" s="12" t="str">
        <x:v>RING OF ZERO DISTANCE</x:v>
      </x:c>
      <x:c r="D11" s="15" t="str">
        <x:v>Кольцо</x:v>
      </x:c>
      <x:c r="E11" s="15" t="str">
        <x:v>Маг</x:v>
      </x:c>
      <x:c r="F11" s="15" t="str">
        <x:v>Ближний Маг</x:v>
      </x:c>
      <x:c r="G11" s="12" t="str">
        <x:v>Все сферы, включая мини-сферы, детонируют сразу вокруг героя; радиус взрыва +60%, урон взрыва +35%.</x:v>
      </x:c>
      <x:c r="H11" s="12" t="str">
        <x:v>Прямое попадание снаряда исчезает полностью, дальний полёт и самонаведение не работают. Притяжение применяется от позиции героя.</x:v>
      </x:c>
      <x:c r="I11" s="12" t="str">
        <x:v>Только Маг</x:v>
      </x:c>
      <x:c r="J11" s="16" t="str">
        <x:v>Высокая</x:v>
      </x:c>
      <x:c r="K11" s="16" t="str">
        <x:v>Нет</x:v>
      </x:c>
      <x:c r="L11" s="16" t="str">
        <x:v>Концепт</x:v>
      </x:c>
    </x:row>
    <x:row r="12" ht="82" customHeight="1">
      <x:c r="A12" s="14" t="n">
        <x:v>8</x:v>
      </x:c>
      <x:c r="B12" s="12" t="str">
        <x:v>КОЛЬЦО КОСТЯНОГО ЗАКОНА</x:v>
      </x:c>
      <x:c r="C12" s="12" t="str">
        <x:v>RING OF BONE LAW</x:v>
      </x:c>
      <x:c r="D12" s="15" t="str">
        <x:v>Кольцо</x:v>
      </x:c>
      <x:c r="E12" s="15" t="str">
        <x:v>Некромант</x:v>
      </x:c>
      <x:c r="F12" s="15" t="str">
        <x:v>Герой-командир</x:v>
      </x:c>
      <x:c r="G12" s="12" t="str">
        <x:v>Обычная атака героя отключается; предел свиты удваивается, урон бойцов повышается на 75%, а воскрешение ускоряется на 25%.</x:v>
      </x:c>
      <x:c r="H12" s="12" t="str">
        <x:v>Триггеры от ударов героя становятся недоступны. Предмет не появляется до получения первого постоянного приспешника.</x:v>
      </x:c>
      <x:c r="I12" s="12" t="str">
        <x:v>Только Некромант</x:v>
      </x:c>
      <x:c r="J12" s="16" t="str">
        <x:v>Высокая</x:v>
      </x:c>
      <x:c r="K12" s="16" t="str">
        <x:v>Нет</x:v>
      </x:c>
      <x:c r="L12" s="16" t="str">
        <x:v>Концепт</x:v>
      </x:c>
    </x:row>
    <x:row r="13" ht="82" customHeight="1">
      <x:c r="A13" s="14" t="n">
        <x:v>9</x:v>
      </x:c>
      <x:c r="B13" s="12" t="str">
        <x:v>СОЛНЦЕ В КЛЕТКЕ</x:v>
      </x:c>
      <x:c r="C13" s="12" t="str">
        <x:v>CAGED SUN</x:v>
      </x:c>
      <x:c r="D13" s="15" t="str">
        <x:v>Реликвия</x:v>
      </x:c>
      <x:c r="E13" s="15" t="str">
        <x:v>Все</x:v>
      </x:c>
      <x:c r="F13" s="15" t="str">
        <x:v>Плазменная реакция</x:v>
      </x:c>
      <x:c r="G13" s="12" t="str">
        <x:v>Поджог, Охлаждение, Яд и Шок на одной цели за 3 сек создают плазменный взрыв на 50% суммы четырёх последних фактически прошедших прямых ударов.</x:v>
      </x:c>
      <x:c r="H13" s="12" t="str">
        <x:v>Длительность всех четырёх статусов уменьшается на 30%. На цели откат 6 сек; взрыв применяет защиту и не создаёт новую реакцию.</x:v>
      </x:c>
      <x:c r="I13" s="12" t="str">
        <x:v>Нужны четыре соответствующих источника</x:v>
      </x:c>
      <x:c r="J13" s="16" t="str">
        <x:v>Высокая</x:v>
      </x:c>
      <x:c r="K13" s="16" t="str">
        <x:v>Нет</x:v>
      </x:c>
      <x:c r="L13" s="16" t="str">
        <x:v>Концепт</x:v>
      </x:c>
    </x:row>
    <x:row r="14" ht="82" customHeight="1">
      <x:c r="A14" s="14" t="n">
        <x:v>10</x:v>
      </x:c>
      <x:c r="B14" s="12" t="str">
        <x:v>ПЕРЕВЁРНУТАЯ КОРОНА</x:v>
      </x:c>
      <x:c r="C14" s="12" t="str">
        <x:v>INVERTED CROWN</x:v>
      </x:c>
      <x:c r="D14" s="15" t="str">
        <x:v>Реликвия</x:v>
      </x:c>
      <x:c r="E14" s="15" t="str">
        <x:v>Все</x:v>
      </x:c>
      <x:c r="F14" s="15" t="str">
        <x:v>Опасная добыча</x:v>
      </x:c>
      <x:c r="G14" s="12" t="str">
        <x:v>Каждая элитная пачка получает ещё одного элитного врага; шанс предмета с элит и боссов повышается на 50%, а 25% предметов получают редкость на ступень выше.</x:v>
      </x:c>
      <x:c r="H14" s="12" t="str">
        <x:v>Все враги получают +25% max HP. Легендарную редкость повысить нельзя; дополнительный элитный враг выдаёт обычную награду.</x:v>
      </x:c>
      <x:c r="I14" s="12" t="str">
        <x:v>Без условия</x:v>
      </x:c>
      <x:c r="J14" s="16" t="str">
        <x:v>Высокая</x:v>
      </x:c>
      <x:c r="K14" s="16" t="str">
        <x:v>Нет</x:v>
      </x:c>
      <x:c r="L14" s="16" t="str">
        <x:v>Концепт</x:v>
      </x:c>
    </x:row>
    <x:row r="15" ht="82" customHeight="1">
      <x:c r="A15" s="14" t="n">
        <x:v>11</x:v>
      </x:c>
      <x:c r="B15" s="12" t="str">
        <x:v>СЧЁТЧИК ГЛУБИНЫ</x:v>
      </x:c>
      <x:c r="C15" s="12" t="str">
        <x:v>DEPTH COUNTER</x:v>
      </x:c>
      <x:c r="D15" s="15" t="str">
        <x:v>Реликвия</x:v>
      </x:c>
      <x:c r="E15" s="15" t="str">
        <x:v>Все</x:v>
      </x:c>
      <x:c r="F15" s="15" t="str">
        <x:v>Разгон по этажам</x:v>
      </x:c>
      <x:c r="G15" s="12" t="str">
        <x:v>Каждый завершённый этаж даёт +5% ко всему урону, но уменьшает max HP на 2% до конца забега.</x:v>
      </x:c>
      <x:c r="H15" s="12" t="str">
        <x:v>Максимум 15 стаков: +75% урона и −30% max HP. Текущее HP сохраняет долю от нового максимума.</x:v>
      </x:c>
      <x:c r="I15" s="12" t="str">
        <x:v>Без условия</x:v>
      </x:c>
      <x:c r="J15" s="16" t="str">
        <x:v>Средняя</x:v>
      </x:c>
      <x:c r="K15" s="16" t="str">
        <x:v>Нет</x:v>
      </x:c>
      <x:c r="L15" s="16" t="str">
        <x:v>Концепт</x:v>
      </x:c>
    </x:row>
    <x:row r="16" ht="82" customHeight="1">
      <x:c r="A16" s="14" t="n">
        <x:v>12</x:v>
      </x:c>
      <x:c r="B16" s="12" t="str">
        <x:v>АРХИВАРИУС</x:v>
      </x:c>
      <x:c r="C16" s="12" t="str">
        <x:v>THE ARCHIVIST</x:v>
      </x:c>
      <x:c r="D16" s="15" t="str">
        <x:v>Реликвия</x:v>
      </x:c>
      <x:c r="E16" s="15" t="str">
        <x:v>Все</x:v>
      </x:c>
      <x:c r="F16" s="15" t="str">
        <x:v>Книги и тотемы</x:v>
      </x:c>
      <x:c r="G16" s="12" t="str">
        <x:v>Каждая найденная книга немедленно получает дополнительный тир, не выше обычного максимума.</x:v>
      </x:c>
      <x:c r="H16" s="12" t="str">
        <x:v>Вес выпадения книг и тотемов после находки реликвии уменьшается вдвое. Дополнительный тир не запускает вторую находку и не повышает шанс выше 100%.</x:v>
      </x:c>
      <x:c r="I16" s="12" t="str">
        <x:v>Без условия</x:v>
      </x:c>
      <x:c r="J16" s="16" t="str">
        <x:v>Средняя</x:v>
      </x:c>
      <x:c r="K16" s="16" t="str">
        <x:v>Нет</x:v>
      </x:c>
      <x:c r="L16" s="16" t="str">
        <x:v>Концепт</x:v>
      </x:c>
    </x:row>
  </x:sheetData>
  <x:mergeCells>
    <x:mergeCell ref="A1:L1"/>
    <x:mergeCell ref="A2:L2"/>
  </x:mergeCells>
  <x:conditionalFormatting sqref="J5:J16">
    <x:cfRule type="containsText" dxfId="9" priority="1" operator="containsText" text="Высокая"/>
  </x:conditionalFormatting>
  <x:conditionalFormatting sqref="K5:K16">
    <x:cfRule type="containsText" dxfId="10" priority="2" operator="containsText" text="Да"/>
  </x:conditionalFormatting>
  <x:conditionalFormatting sqref="L5:L16">
    <x:cfRule type="containsText" dxfId="11" priority="3" operator="containsText" text="К прототипу"/>
  </x:conditionalFormatting>
  <x:dataValidations count="1">
    <x:dataValidation type="list" sqref="L5:L16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ec05998ed645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0" customHeight="1">
      <x:c r="A1" s="34" t="str">
        <x:v>Правила отбора и проверки предметов</x:v>
      </x:c>
      <x:c r="B1" s="34" t="str">
        <x:v>Правила отбора и проверки предметов</x:v>
      </x:c>
      <x:c r="C1" s="34" t="str">
        <x:v>Правила отбора и проверки предметов</x:v>
      </x:c>
      <x:c r="D1" s="34" t="str">
        <x:v>Правила отбора и проверки предметов</x:v>
      </x:c>
      <x:c r="E1" s="34" t="str">
        <x:v>Правила отбора и проверки предметов</x:v>
      </x:c>
      <x:c r="F1" s="34" t="str">
        <x:v>Правила отбора и проверки предметов</x:v>
      </x:c>
    </x:row>
    <x:row r="2" ht="34" customHeight="1">
      <x:c r="A2" s="7" t="str">
        <x:v>Каталог не меняет игру автоматически: все эффекты требуют отдельного прототипа, локализации, QA-выдачи и тестов взаимодействий.</x:v>
      </x:c>
      <x:c r="B2" s="7" t="str">
        <x:v>Каталог не меняет игру автоматически: все эффекты требуют отдельного прототипа, локализации, QA-выдачи и тестов взаимодействий.</x:v>
      </x:c>
      <x:c r="C2" s="7" t="str">
        <x:v>Каталог не меняет игру автоматически: все эффекты требуют отдельного прототипа, локализации, QA-выдачи и тестов взаимодействий.</x:v>
      </x:c>
      <x:c r="D2" s="7" t="str">
        <x:v>Каталог не меняет игру автоматически: все эффекты требуют отдельного прототипа, локализации, QA-выдачи и тестов взаимодействий.</x:v>
      </x:c>
      <x:c r="E2" s="7" t="str">
        <x:v>Каталог не меняет игру автоматически: все эффекты требуют отдельного прототипа, локализации, QA-выдачи и тестов взаимодействий.</x:v>
      </x:c>
      <x:c r="F2" s="7" t="str">
        <x:v>Каталог не меняет игру автоматически: все эффекты требуют отдельного прототипа, локализации, QA-выдачи и тестов взаимодействий.</x:v>
      </x:c>
    </x:row>
    <x:row r="4" ht="26" customHeight="1">
      <x:c r="A4" s="60" t="str">
        <x:v>Опорные факты текущей системы</x:v>
      </x:c>
      <x:c r="B4" s="60"/>
      <x:c r="C4" s="60"/>
      <x:c r="D4" s="60"/>
      <x:c r="E4" s="60"/>
      <x:c r="F4" s="60"/>
    </x:row>
    <x:row r="5" ht="40" customHeight="1">
      <x:c r="A5" s="63" t="n">
        <x:v>1</x:v>
      </x:c>
      <x:c r="B5" s="64" t="str">
        <x:v>В runtime сейчас 54 уникальных предмета: 20 амулетов, 8 перчаток, 6 ботинок, 9 колец и 11 реликвий.</x:v>
      </x:c>
    </x:row>
    <x:row r="6" ht="40" customHeight="1">
      <x:c r="A6" s="65" t="n">
        <x:v>2</x:v>
      </x:c>
      <x:c r="B6" s="66" t="str">
        <x:v>Текущая редкость: 1 обычный, 29 редких, 22 эпических и 2 легендарных предмета. Новый каталог намеренно добавляет больше обычных и легендарных вариантов.</x:v>
      </x:c>
    </x:row>
    <x:row r="7" ht="40" customHeight="1">
      <x:c r="A7" s="65" t="n">
        <x:v>3</x:v>
      </x:c>
      <x:c r="B7" s="66" t="str">
        <x:v>Слот является подписью и группировкой, а не лимитом экипировки: игрок может найти несколько предметов одного слота.</x:v>
      </x:c>
    </x:row>
    <x:row r="8" ht="40" customHeight="1">
      <x:c r="A8" s="65" t="n">
        <x:v>4</x:v>
      </x:c>
      <x:c r="B8" s="66" t="str">
        <x:v>Каждый предмет находится один раз за забег; повторный дроп того же id запрещён.</x:v>
      </x:c>
    </x:row>
    <x:row r="9" ht="40" customHeight="1">
      <x:c r="A9" s="67" t="n">
        <x:v>5</x:v>
      </x:c>
      <x:c r="B9" s="68" t="str">
        <x:v>В объекте текущих предметов исторически встречались коллизии ключей shard и pulse, поэтому уникальность нового id должна проверяться отдельным unit-тестом.</x:v>
      </x:c>
    </x:row>
    <x:row r="12" ht="26" customHeight="1">
      <x:c r="A12" s="70" t="str">
        <x:v>Принципы дизайна</x:v>
      </x:c>
      <x:c r="B12" s="70"/>
      <x:c r="C12" s="70"/>
      <x:c r="D12" s="70"/>
      <x:c r="E12" s="70"/>
      <x:c r="F12" s="70"/>
    </x:row>
    <x:row r="13" ht="40" customHeight="1">
      <x:c r="A13" s="73" t="n">
        <x:v>1</x:v>
      </x:c>
      <x:c r="B13" s="64" t="str">
        <x:v>Предмет должен менять правило боя, ритм или условие, а не быть ещё одной безусловной плоской прибавкой.</x:v>
      </x:c>
    </x:row>
    <x:row r="14" ht="40" customHeight="1">
      <x:c r="A14" s="74" t="n">
        <x:v>2</x:v>
      </x:c>
      <x:c r="B14" s="66" t="str">
        <x:v>Обычные предметы используют один готовый триггер; редкие связывают две системы; эпические строят архетип; легендарные имеют явную цену.</x:v>
      </x:c>
    </x:row>
    <x:row r="15" ht="40" customHeight="1">
      <x:c r="A15" s="74" t="n">
        <x:v>3</x:v>
      </x:c>
      <x:c r="B15" s="66" t="str">
        <x:v>Классовый предмет входит в пул только нужного класса и при выпадении показывает каноническую иконку класса.</x:v>
      </x:c>
    </x:row>
    <x:row r="16" ht="40" customHeight="1">
      <x:c r="A16" s="74" t="n">
        <x:v>4</x:v>
      </x:c>
      <x:c r="B16" s="66" t="str">
        <x:v>Условный предмет не входит в пул без рабочего источника: Шока, барьера, пробития, статуса, активного предметного отката или приспешника.</x:v>
      </x:c>
    </x:row>
    <x:row r="17" ht="40" customHeight="1">
      <x:c r="A17" s="74" t="n">
        <x:v>5</x:v>
      </x:c>
      <x:c r="B17" s="66" t="str">
        <x:v>Не возвращать под другим названием Блок, общее Снижение урона, Размер снарядов или карточку Радиуса автоподбора.</x:v>
      </x:c>
    </x:row>
    <x:row r="18" ht="40" customHeight="1">
      <x:c r="A18" s="74" t="n">
        <x:v>6</x:v>
      </x:c>
      <x:c r="B18" s="66" t="str">
        <x:v>Дополнительный урон использует фактически прошедшее значение, применяет защиту новой цели и не получает исходящие множители повторно.</x:v>
      </x:c>
    </x:row>
    <x:row r="19" ht="40" customHeight="1">
      <x:c r="A19" s="74" t="n">
        <x:v>7</x:v>
      </x:c>
      <x:c r="B19" s="66" t="str">
        <x:v>Любая цепь, волна, копия статуса, эхо или столкновение имеет запрет самоповтора и предел числа целей.</x:v>
      </x:c>
    </x:row>
    <x:row r="20" ht="40" customHeight="1">
      <x:c r="A20" s="74" t="n">
        <x:v>8</x:v>
      </x:c>
      <x:c r="B20" s="66" t="str">
        <x:v>Напольные эффекты, тени, сигилы и возвращающиеся снаряды получают жёсткий лимит экземпляров и времени жизни.</x:v>
      </x:c>
    </x:row>
    <x:row r="21" ht="40" customHeight="1">
      <x:c r="A21" s="75" t="n">
        <x:v>9</x:v>
      </x:c>
      <x:c r="B21" s="68" t="str">
        <x:v>Русское и английское названия в таблице являются рабочими; финальный tooltip обязан объяснять формулу и исключения на обоих языках.</x:v>
      </x:c>
    </x:row>
    <x:row r="24" ht="26" customHeight="1">
      <x:c r="A24" s="23" t="str">
        <x:v>Обязательные проверки реализации</x:v>
      </x:c>
      <x:c r="B24" s="23"/>
      <x:c r="C24" s="23"/>
      <x:c r="D24" s="23"/>
      <x:c r="E24" s="23"/>
      <x:c r="F24" s="23"/>
    </x:row>
    <x:row r="25" ht="40" customHeight="1">
      <x:c r="A25" s="78" t="n">
        <x:v>1</x:v>
      </x:c>
      <x:c r="B25" s="64" t="str">
        <x:v>Новый id уникален и не перезаписывает существующий ключ AMULETS.</x:v>
      </x:c>
    </x:row>
    <x:row r="26" ht="40" customHeight="1">
      <x:c r="A26" s="79" t="n">
        <x:v>2</x:v>
      </x:c>
      <x:c r="B26" s="66" t="str">
        <x:v>Предмет нельзя получить повторно обычным дропом, боссом, перебросом или через QA-панель.</x:v>
      </x:c>
    </x:row>
    <x:row r="27" ht="40" customHeight="1">
      <x:c r="A27" s="79" t="n">
        <x:v>3</x:v>
      </x:c>
      <x:c r="B27" s="66" t="str">
        <x:v>Редкость корректно меняет вес выпадения и отображается как обычная, редкая, эпическая или легендарная.</x:v>
      </x:c>
    </x:row>
    <x:row r="28" ht="40" customHeight="1">
      <x:c r="A28" s="79" t="n">
        <x:v>4</x:v>
      </x:c>
      <x:c r="B28" s="66" t="str">
        <x:v>Слот и классовое ограничение отображаются в окне находки, инвентаре, итогах забега и QA-панели.</x:v>
      </x:c>
    </x:row>
    <x:row r="29" ht="40" customHeight="1">
      <x:c r="A29" s="79" t="n">
        <x:v>5</x:v>
      </x:c>
      <x:c r="B29" s="66" t="str">
        <x:v>Условие входа в пул проверяется до броска и пересчитывается после получения нужного источника.</x:v>
      </x:c>
    </x:row>
    <x:row r="30" ht="40" customHeight="1">
      <x:c r="A30" s="79" t="n">
        <x:v>6</x:v>
      </x:c>
      <x:c r="B30" s="66" t="str">
        <x:v>Броня, панцирь роя, защита пачки и особая защита босса применяются к каждой вторичной цели.</x:v>
      </x:c>
    </x:row>
    <x:row r="31" ht="40" customHeight="1">
      <x:c r="A31" s="79" t="n">
        <x:v>7</x:v>
      </x:c>
      <x:c r="B31" s="66" t="str">
        <x:v>Удар предмета не запускает сам себя и не двигает счётчики обычных атак, если это явно не предусмотрено.</x:v>
      </x:c>
    </x:row>
    <x:row r="32" ht="40" customHeight="1">
      <x:c r="A32" s="79" t="n">
        <x:v>8</x:v>
      </x:c>
      <x:c r="B32" s="66" t="str">
        <x:v>Массовый взмах Воина не создаёт квадратичное число столкновений, волн или предметных срабатываний.</x:v>
      </x:c>
    </x:row>
    <x:row r="33" ht="40" customHeight="1">
      <x:c r="A33" s="79" t="n">
        <x:v>9</x:v>
      </x:c>
      <x:c r="B33" s="66" t="str">
        <x:v>Мини-сфера Мультипликации отдельно проверена для каждого предмета Мага и не обходит запреты зарядки.</x:v>
      </x:c>
    </x:row>
    <x:row r="34" ht="40" customHeight="1">
      <x:c r="A34" s="79" t="n">
        <x:v>10</x:v>
      </x:c>
      <x:c r="B34" s="66" t="str">
        <x:v>Свита проверена на смерть, воскрешение, смену цели, отсутствие живых бойцов и смешанный состав.</x:v>
      </x:c>
    </x:row>
    <x:row r="35" ht="40" customHeight="1">
      <x:c r="A35" s="79" t="n">
        <x:v>11</x:v>
      </x:c>
      <x:c r="B35" s="66" t="str">
        <x:v>localizationMissing() остаётся пустым; проходят locunit.js, точечный itemunit-набор и полный run-all.js.</x:v>
      </x:c>
    </x:row>
    <x:row r="36" ht="40" customHeight="1">
      <x:c r="A36" s="80" t="n">
        <x:v>12</x:v>
      </x:c>
      <x:c r="B36" s="68" t="str">
        <x:v>Финальный тест включает одновременную выдачу всех новых предметов и измерение времени update/render без утечки объектов.</x:v>
      </x:c>
    </x:row>
  </x:sheetData>
  <x:mergeCells>
    <x:mergeCell ref="A1:F1"/>
    <x:mergeCell ref="A2:F2"/>
    <x:mergeCell ref="A4:F4"/>
    <x:mergeCell ref="A12:F12"/>
    <x:mergeCell ref="A24:F24"/>
  </x:mergeCells>
  <x:pageMargins left="0.7" right="0.7" top="0.75" bottom="0.75" header="0.3" footer="0.3"/>
</x:worksheet>
</file>